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pivotTables/pivotTable7.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E:\bayu\study\dashboard\portofolio_1\FIX\"/>
    </mc:Choice>
  </mc:AlternateContent>
  <xr:revisionPtr revIDLastSave="0" documentId="13_ncr:1_{EF0F4388-0F64-42C4-9698-F04B6FB52F07}" xr6:coauthVersionLast="47" xr6:coauthVersionMax="47" xr10:uidLastSave="{00000000-0000-0000-0000-000000000000}"/>
  <bookViews>
    <workbookView xWindow="-108" yWindow="-108" windowWidth="23256" windowHeight="12456" activeTab="6" xr2:uid="{00000000-000D-0000-FFFF-FFFF00000000}"/>
  </bookViews>
  <sheets>
    <sheet name="data_stats" sheetId="2" r:id="rId1"/>
    <sheet name="working sheet_stats" sheetId="4" r:id="rId2"/>
    <sheet name="goal_precentage" sheetId="9" r:id="rId3"/>
    <sheet name="failed_attempt" sheetId="15" r:id="rId4"/>
    <sheet name="goal_area" sheetId="19" r:id="rId5"/>
    <sheet name="goal_statistic" sheetId="17" r:id="rId6"/>
    <sheet name="dashboard" sheetId="21" r:id="rId7"/>
  </sheets>
  <functionGroups builtInGroupCount="19"/>
  <definedNames>
    <definedName name="_xlnm._FilterDatabase" localSheetId="1" hidden="1">'working sheet_stats'!$A$1:$AP$241</definedName>
    <definedName name="result">#REF!</definedName>
    <definedName name="Slicer_team">#N/A</definedName>
    <definedName name="stats">'working sheet_stats'!$A$1:$AP$241</definedName>
  </definedNames>
  <calcPr calcId="191029"/>
  <pivotCaches>
    <pivotCache cacheId="4"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7" i="19" l="1"/>
  <c r="K9" i="19"/>
  <c r="K4" i="19"/>
  <c r="K2" i="19"/>
  <c r="H7" i="19"/>
  <c r="H4" i="19"/>
  <c r="H9" i="19"/>
  <c r="H2" i="19"/>
  <c r="E9" i="19"/>
  <c r="E7" i="19"/>
  <c r="E4" i="19"/>
  <c r="E2" i="19"/>
  <c r="E5" i="19" l="1"/>
  <c r="E3" i="19"/>
  <c r="E10" i="19"/>
  <c r="E8" i="19"/>
  <c r="H5" i="19"/>
  <c r="H8" i="19"/>
  <c r="H3" i="19"/>
  <c r="H10" i="19"/>
  <c r="K5" i="19"/>
  <c r="K3" i="19"/>
  <c r="K8" i="19"/>
  <c r="K10" i="19"/>
</calcChain>
</file>

<file path=xl/sharedStrings.xml><?xml version="1.0" encoding="utf-8"?>
<sst xmlns="http://schemas.openxmlformats.org/spreadsheetml/2006/main" count="10480" uniqueCount="1962">
  <si>
    <t>season</t>
  </si>
  <si>
    <t>Sheffield United</t>
  </si>
  <si>
    <t>Liverpool</t>
  </si>
  <si>
    <t>1.0</t>
  </si>
  <si>
    <t>2006-2007</t>
  </si>
  <si>
    <t>Arsenal</t>
  </si>
  <si>
    <t>Aston Villa</t>
  </si>
  <si>
    <t>Everton</t>
  </si>
  <si>
    <t>Watford</t>
  </si>
  <si>
    <t>2.0</t>
  </si>
  <si>
    <t>Newcastle United</t>
  </si>
  <si>
    <t>Wigan Athletic</t>
  </si>
  <si>
    <t>Portsmouth</t>
  </si>
  <si>
    <t>Blackburn Rovers</t>
  </si>
  <si>
    <t>3.0</t>
  </si>
  <si>
    <t>0.0</t>
  </si>
  <si>
    <t>Reading</t>
  </si>
  <si>
    <t>Middlesbrough</t>
  </si>
  <si>
    <t>West Ham United</t>
  </si>
  <si>
    <t>Charlton Athletic</t>
  </si>
  <si>
    <t>Bolton Wanderers</t>
  </si>
  <si>
    <t>Tottenham Hotspur</t>
  </si>
  <si>
    <t>Manchester United</t>
  </si>
  <si>
    <t>Fulham</t>
  </si>
  <si>
    <t>5.0</t>
  </si>
  <si>
    <t>Chelsea</t>
  </si>
  <si>
    <t>Manchester City</t>
  </si>
  <si>
    <t>4.0</t>
  </si>
  <si>
    <t>6.0</t>
  </si>
  <si>
    <t>Sunderland</t>
  </si>
  <si>
    <t>2007-2008</t>
  </si>
  <si>
    <t>Derby County</t>
  </si>
  <si>
    <t>Birmingham City</t>
  </si>
  <si>
    <t>7.0</t>
  </si>
  <si>
    <t>8.0</t>
  </si>
  <si>
    <t>West Bromwich Albion</t>
  </si>
  <si>
    <t>2008-2009</t>
  </si>
  <si>
    <t>Stoke City</t>
  </si>
  <si>
    <t>Hull City</t>
  </si>
  <si>
    <t>2009-2010</t>
  </si>
  <si>
    <t>Burnley</t>
  </si>
  <si>
    <t>Wolverhampton Wanderers</t>
  </si>
  <si>
    <t>9.0</t>
  </si>
  <si>
    <t>2010-2011</t>
  </si>
  <si>
    <t>Blackpool</t>
  </si>
  <si>
    <t>2011-2012</t>
  </si>
  <si>
    <t>Queens Park Rangers</t>
  </si>
  <si>
    <t>Norwich City</t>
  </si>
  <si>
    <t>Swansea City</t>
  </si>
  <si>
    <t>2012-2013</t>
  </si>
  <si>
    <t>Southampton</t>
  </si>
  <si>
    <t>2013-2014</t>
  </si>
  <si>
    <t>Cardiff City</t>
  </si>
  <si>
    <t>Crystal Palace</t>
  </si>
  <si>
    <t>2014-2015</t>
  </si>
  <si>
    <t>Leicester City</t>
  </si>
  <si>
    <t>2015-2016</t>
  </si>
  <si>
    <t>AFC Bournemouth</t>
  </si>
  <si>
    <t>2016-2017</t>
  </si>
  <si>
    <t>2017-2018</t>
  </si>
  <si>
    <t>Huddersfield Town</t>
  </si>
  <si>
    <t>Brighton and Hove Albion</t>
  </si>
  <si>
    <t>team</t>
  </si>
  <si>
    <t>wins</t>
  </si>
  <si>
    <t>losses</t>
  </si>
  <si>
    <t>goals</t>
  </si>
  <si>
    <t>total_yel_card</t>
  </si>
  <si>
    <t>total_red_card</t>
  </si>
  <si>
    <t>total_scoring_att</t>
  </si>
  <si>
    <t>ontarget_scoring_att</t>
  </si>
  <si>
    <t>hit_woodwork</t>
  </si>
  <si>
    <t>att_hd_goal</t>
  </si>
  <si>
    <t>att_pen_goal</t>
  </si>
  <si>
    <t>att_freekick_goal</t>
  </si>
  <si>
    <t>att_ibox_goal</t>
  </si>
  <si>
    <t>att_obox_goal</t>
  </si>
  <si>
    <t>goal_fastbreak</t>
  </si>
  <si>
    <t>total_offside</t>
  </si>
  <si>
    <t>clean_sheet</t>
  </si>
  <si>
    <t>goals_conceded</t>
  </si>
  <si>
    <t>saves</t>
  </si>
  <si>
    <t>outfielder_block</t>
  </si>
  <si>
    <t>interception</t>
  </si>
  <si>
    <t>total_tackle</t>
  </si>
  <si>
    <t>last_man_tackle</t>
  </si>
  <si>
    <t>total_clearance</t>
  </si>
  <si>
    <t>head_clearance</t>
  </si>
  <si>
    <t>own_goals</t>
  </si>
  <si>
    <t>penalty_conceded</t>
  </si>
  <si>
    <t>pen_goals_conceded</t>
  </si>
  <si>
    <t>total_pass</t>
  </si>
  <si>
    <t>total_through_ball</t>
  </si>
  <si>
    <t>total_long_balls</t>
  </si>
  <si>
    <t>backward_pass</t>
  </si>
  <si>
    <t>total_cross</t>
  </si>
  <si>
    <t>corner_taken</t>
  </si>
  <si>
    <t>touches</t>
  </si>
  <si>
    <t>big_chance_missed</t>
  </si>
  <si>
    <t>clearance_off_line</t>
  </si>
  <si>
    <t>dispossessed</t>
  </si>
  <si>
    <t>penalty_save</t>
  </si>
  <si>
    <t>total_high_claim</t>
  </si>
  <si>
    <t>punches</t>
  </si>
  <si>
    <t>28.0</t>
  </si>
  <si>
    <t>83.0</t>
  </si>
  <si>
    <t>60.0</t>
  </si>
  <si>
    <t>698.0</t>
  </si>
  <si>
    <t>256.0</t>
  </si>
  <si>
    <t>21.0</t>
  </si>
  <si>
    <t>12.0</t>
  </si>
  <si>
    <t>72.0</t>
  </si>
  <si>
    <t>11.0</t>
  </si>
  <si>
    <t>80.0</t>
  </si>
  <si>
    <t>16.0</t>
  </si>
  <si>
    <t>27.0</t>
  </si>
  <si>
    <t>81.0</t>
  </si>
  <si>
    <t>254.0</t>
  </si>
  <si>
    <t>890.0</t>
  </si>
  <si>
    <t>1222.0</t>
  </si>
  <si>
    <t>18723.0</t>
  </si>
  <si>
    <t>2397.0</t>
  </si>
  <si>
    <t>918.0</t>
  </si>
  <si>
    <t>258.0</t>
  </si>
  <si>
    <t>25686.0</t>
  </si>
  <si>
    <t>37.0</t>
  </si>
  <si>
    <t>25.0</t>
  </si>
  <si>
    <t>24.0</t>
  </si>
  <si>
    <t>64.0</t>
  </si>
  <si>
    <t>62.0</t>
  </si>
  <si>
    <t>636.0</t>
  </si>
  <si>
    <t>216.0</t>
  </si>
  <si>
    <t>14.0</t>
  </si>
  <si>
    <t>41.0</t>
  </si>
  <si>
    <t>23.0</t>
  </si>
  <si>
    <t>127.0</t>
  </si>
  <si>
    <t>22.0</t>
  </si>
  <si>
    <t>74.0</t>
  </si>
  <si>
    <t>292.0</t>
  </si>
  <si>
    <t>982.0</t>
  </si>
  <si>
    <t>1206.0</t>
  </si>
  <si>
    <t>16759.0</t>
  </si>
  <si>
    <t>2270.0</t>
  </si>
  <si>
    <t>897.0</t>
  </si>
  <si>
    <t>231.0</t>
  </si>
  <si>
    <t>24010.0</t>
  </si>
  <si>
    <t>20.0</t>
  </si>
  <si>
    <t>10.0</t>
  </si>
  <si>
    <t>57.0</t>
  </si>
  <si>
    <t>44.0</t>
  </si>
  <si>
    <t>668.0</t>
  </si>
  <si>
    <t>214.0</t>
  </si>
  <si>
    <t>15.0</t>
  </si>
  <si>
    <t>46.0</t>
  </si>
  <si>
    <t>120.0</t>
  </si>
  <si>
    <t>65.0</t>
  </si>
  <si>
    <t>246.0</t>
  </si>
  <si>
    <t>969.0</t>
  </si>
  <si>
    <t>1115.0</t>
  </si>
  <si>
    <t>17154.0</t>
  </si>
  <si>
    <t>2800.0</t>
  </si>
  <si>
    <t>1107.0</t>
  </si>
  <si>
    <t>282.0</t>
  </si>
  <si>
    <t>24150.0</t>
  </si>
  <si>
    <t>51.0</t>
  </si>
  <si>
    <t>19.0</t>
  </si>
  <si>
    <t>63.0</t>
  </si>
  <si>
    <t>59.0</t>
  </si>
  <si>
    <t>638.0</t>
  </si>
  <si>
    <t>226.0</t>
  </si>
  <si>
    <t>53.0</t>
  </si>
  <si>
    <t>111.0</t>
  </si>
  <si>
    <t>35.0</t>
  </si>
  <si>
    <t>73.0</t>
  </si>
  <si>
    <t>998.0</t>
  </si>
  <si>
    <t>1202.0</t>
  </si>
  <si>
    <t>18458.0</t>
  </si>
  <si>
    <t>2045.0</t>
  </si>
  <si>
    <t>873.0</t>
  </si>
  <si>
    <t>278.0</t>
  </si>
  <si>
    <t>25592.0</t>
  </si>
  <si>
    <t>88.0</t>
  </si>
  <si>
    <t>17.0</t>
  </si>
  <si>
    <t>48.0</t>
  </si>
  <si>
    <t>520.0</t>
  </si>
  <si>
    <t>184.0</t>
  </si>
  <si>
    <t>13.0</t>
  </si>
  <si>
    <t>149.0</t>
  </si>
  <si>
    <t>54.0</t>
  </si>
  <si>
    <t>128.0</t>
  </si>
  <si>
    <t>276.0</t>
  </si>
  <si>
    <t>995.0</t>
  </si>
  <si>
    <t>1412.0</t>
  </si>
  <si>
    <t>14914.0</t>
  </si>
  <si>
    <t>2408.0</t>
  </si>
  <si>
    <t>796.0</t>
  </si>
  <si>
    <t>181.0</t>
  </si>
  <si>
    <t>22200.0</t>
  </si>
  <si>
    <t>47.0</t>
  </si>
  <si>
    <t>84.0</t>
  </si>
  <si>
    <t>404.0</t>
  </si>
  <si>
    <t>38.0</t>
  </si>
  <si>
    <t>95.0</t>
  </si>
  <si>
    <t>52.0</t>
  </si>
  <si>
    <t>101.0</t>
  </si>
  <si>
    <t>235.0</t>
  </si>
  <si>
    <t>811.0</t>
  </si>
  <si>
    <t>1037.0</t>
  </si>
  <si>
    <t>12400.0</t>
  </si>
  <si>
    <t>2403.0</t>
  </si>
  <si>
    <t>942.0</t>
  </si>
  <si>
    <t>217.0</t>
  </si>
  <si>
    <t>18932.0</t>
  </si>
  <si>
    <t>419.0</t>
  </si>
  <si>
    <t>132.0</t>
  </si>
  <si>
    <t>42.0</t>
  </si>
  <si>
    <t>87.0</t>
  </si>
  <si>
    <t>277.0</t>
  </si>
  <si>
    <t>855.0</t>
  </si>
  <si>
    <t>1022.0</t>
  </si>
  <si>
    <t>11232.0</t>
  </si>
  <si>
    <t>2378.0</t>
  </si>
  <si>
    <t>1067.0</t>
  </si>
  <si>
    <t>280.0</t>
  </si>
  <si>
    <t>18017.0</t>
  </si>
  <si>
    <t>77.0</t>
  </si>
  <si>
    <t>478.0</t>
  </si>
  <si>
    <t>155.0</t>
  </si>
  <si>
    <t>43.0</t>
  </si>
  <si>
    <t>142.0</t>
  </si>
  <si>
    <t>114.0</t>
  </si>
  <si>
    <t>864.0</t>
  </si>
  <si>
    <t>1095.0</t>
  </si>
  <si>
    <t>14033.0</t>
  </si>
  <si>
    <t>2544.0</t>
  </si>
  <si>
    <t>911.0</t>
  </si>
  <si>
    <t>205.0</t>
  </si>
  <si>
    <t>20812.0</t>
  </si>
  <si>
    <t>56.0</t>
  </si>
  <si>
    <t>465.0</t>
  </si>
  <si>
    <t>153.0</t>
  </si>
  <si>
    <t>36.0</t>
  </si>
  <si>
    <t>303.0</t>
  </si>
  <si>
    <t>860.0</t>
  </si>
  <si>
    <t>1386.0</t>
  </si>
  <si>
    <t>12274.0</t>
  </si>
  <si>
    <t>2288.0</t>
  </si>
  <si>
    <t>867.0</t>
  </si>
  <si>
    <t>208.0</t>
  </si>
  <si>
    <t>19250.0</t>
  </si>
  <si>
    <t>45.0</t>
  </si>
  <si>
    <t>525.0</t>
  </si>
  <si>
    <t>186.0</t>
  </si>
  <si>
    <t>32.0</t>
  </si>
  <si>
    <t>141.0</t>
  </si>
  <si>
    <t>96.0</t>
  </si>
  <si>
    <t>220.0</t>
  </si>
  <si>
    <t>948.0</t>
  </si>
  <si>
    <t>1164.0</t>
  </si>
  <si>
    <t>12616.0</t>
  </si>
  <si>
    <t>2276.0</t>
  </si>
  <si>
    <t>783.0</t>
  </si>
  <si>
    <t>247.0</t>
  </si>
  <si>
    <t>19377.0</t>
  </si>
  <si>
    <t>79.0</t>
  </si>
  <si>
    <t>30.0</t>
  </si>
  <si>
    <t>454.0</t>
  </si>
  <si>
    <t>144.0</t>
  </si>
  <si>
    <t>89.0</t>
  </si>
  <si>
    <t>49.0</t>
  </si>
  <si>
    <t>18.0</t>
  </si>
  <si>
    <t>119.0</t>
  </si>
  <si>
    <t>238.0</t>
  </si>
  <si>
    <t>841.0</t>
  </si>
  <si>
    <t>1243.0</t>
  </si>
  <si>
    <t>12779.0</t>
  </si>
  <si>
    <t>769.0</t>
  </si>
  <si>
    <t>187.0</t>
  </si>
  <si>
    <t>19199.0</t>
  </si>
  <si>
    <t>78.0</t>
  </si>
  <si>
    <t>85.0</t>
  </si>
  <si>
    <t>461.0</t>
  </si>
  <si>
    <t>134.0</t>
  </si>
  <si>
    <t>92.0</t>
  </si>
  <si>
    <t>233.0</t>
  </si>
  <si>
    <t>1232.0</t>
  </si>
  <si>
    <t>13178.0</t>
  </si>
  <si>
    <t>849.0</t>
  </si>
  <si>
    <t>196.0</t>
  </si>
  <si>
    <t>20040.0</t>
  </si>
  <si>
    <t>470.0</t>
  </si>
  <si>
    <t>154.0</t>
  </si>
  <si>
    <t>34.0</t>
  </si>
  <si>
    <t>147.0</t>
  </si>
  <si>
    <t>115.0</t>
  </si>
  <si>
    <t>221.0</t>
  </si>
  <si>
    <t>936.0</t>
  </si>
  <si>
    <t>1212.0</t>
  </si>
  <si>
    <t>13254.0</t>
  </si>
  <si>
    <t>2152.0</t>
  </si>
  <si>
    <t>886.0</t>
  </si>
  <si>
    <t>213.0</t>
  </si>
  <si>
    <t>20002.0</t>
  </si>
  <si>
    <t>26.0</t>
  </si>
  <si>
    <t>29.0</t>
  </si>
  <si>
    <t>110.0</t>
  </si>
  <si>
    <t>234.0</t>
  </si>
  <si>
    <t>986.0</t>
  </si>
  <si>
    <t>1213.0</t>
  </si>
  <si>
    <t>12765.0</t>
  </si>
  <si>
    <t>2059.0</t>
  </si>
  <si>
    <t>198.0</t>
  </si>
  <si>
    <t>19378.0</t>
  </si>
  <si>
    <t>140.0</t>
  </si>
  <si>
    <t>102.0</t>
  </si>
  <si>
    <t>361.0</t>
  </si>
  <si>
    <t>965.0</t>
  </si>
  <si>
    <t>1004.0</t>
  </si>
  <si>
    <t>14628.0</t>
  </si>
  <si>
    <t>2649.0</t>
  </si>
  <si>
    <t>793.0</t>
  </si>
  <si>
    <t>195.0</t>
  </si>
  <si>
    <t>21213.0</t>
  </si>
  <si>
    <t>68.0</t>
  </si>
  <si>
    <t>483.0</t>
  </si>
  <si>
    <t>82.0</t>
  </si>
  <si>
    <t>55.0</t>
  </si>
  <si>
    <t>122.0</t>
  </si>
  <si>
    <t>203.0</t>
  </si>
  <si>
    <t>917.0</t>
  </si>
  <si>
    <t>1217.0</t>
  </si>
  <si>
    <t>11123.0</t>
  </si>
  <si>
    <t>2248.0</t>
  </si>
  <si>
    <t>800.0</t>
  </si>
  <si>
    <t>178.0</t>
  </si>
  <si>
    <t>17713.0</t>
  </si>
  <si>
    <t>474.0</t>
  </si>
  <si>
    <t>31.0</t>
  </si>
  <si>
    <t>91.0</t>
  </si>
  <si>
    <t>204.0</t>
  </si>
  <si>
    <t>809.0</t>
  </si>
  <si>
    <t>11353.0</t>
  </si>
  <si>
    <t>2418.0</t>
  </si>
  <si>
    <t>813.0</t>
  </si>
  <si>
    <t>177.0</t>
  </si>
  <si>
    <t>17564.0</t>
  </si>
  <si>
    <t>61.0</t>
  </si>
  <si>
    <t>418.0</t>
  </si>
  <si>
    <t>133.0</t>
  </si>
  <si>
    <t>138.0</t>
  </si>
  <si>
    <t>340.0</t>
  </si>
  <si>
    <t>919.0</t>
  </si>
  <si>
    <t>1483.0</t>
  </si>
  <si>
    <t>12722.0</t>
  </si>
  <si>
    <t>2466.0</t>
  </si>
  <si>
    <t>750.0</t>
  </si>
  <si>
    <t>19497.0</t>
  </si>
  <si>
    <t>50.0</t>
  </si>
  <si>
    <t>451.0</t>
  </si>
  <si>
    <t>94.0</t>
  </si>
  <si>
    <t>98.0</t>
  </si>
  <si>
    <t>901.0</t>
  </si>
  <si>
    <t>11820.0</t>
  </si>
  <si>
    <t>2214.0</t>
  </si>
  <si>
    <t>895.0</t>
  </si>
  <si>
    <t>173.0</t>
  </si>
  <si>
    <t>18720.0</t>
  </si>
  <si>
    <t>135.0</t>
  </si>
  <si>
    <t>117.0</t>
  </si>
  <si>
    <t>744.0</t>
  </si>
  <si>
    <t>1179.0</t>
  </si>
  <si>
    <t>10175.0</t>
  </si>
  <si>
    <t>2263.0</t>
  </si>
  <si>
    <t>983.0</t>
  </si>
  <si>
    <t>212.0</t>
  </si>
  <si>
    <t>16772.0</t>
  </si>
  <si>
    <t>696.0</t>
  </si>
  <si>
    <t>260.0</t>
  </si>
  <si>
    <t>100.0</t>
  </si>
  <si>
    <t>446.0</t>
  </si>
  <si>
    <t>978.0</t>
  </si>
  <si>
    <t>2022.0</t>
  </si>
  <si>
    <t>1140.0</t>
  </si>
  <si>
    <t>17422.0</t>
  </si>
  <si>
    <t>90.0</t>
  </si>
  <si>
    <t>2417.0</t>
  </si>
  <si>
    <t>261.0</t>
  </si>
  <si>
    <t>26620.0</t>
  </si>
  <si>
    <t>627.0</t>
  </si>
  <si>
    <t>605.0</t>
  </si>
  <si>
    <t>199.0</t>
  </si>
  <si>
    <t>506.0</t>
  </si>
  <si>
    <t>1687.0</t>
  </si>
  <si>
    <t>851.0</t>
  </si>
  <si>
    <t>17252.0</t>
  </si>
  <si>
    <t>2154.0</t>
  </si>
  <si>
    <t>945.0</t>
  </si>
  <si>
    <t>253.0</t>
  </si>
  <si>
    <t>26290.0</t>
  </si>
  <si>
    <t>687.0</t>
  </si>
  <si>
    <t>505.0</t>
  </si>
  <si>
    <t>878.0</t>
  </si>
  <si>
    <t>1840.0</t>
  </si>
  <si>
    <t>926.0</t>
  </si>
  <si>
    <t>18831.0</t>
  </si>
  <si>
    <t>1946.0</t>
  </si>
  <si>
    <t>888.0</t>
  </si>
  <si>
    <t>28156.0</t>
  </si>
  <si>
    <t>776.0</t>
  </si>
  <si>
    <t>67.0</t>
  </si>
  <si>
    <t>686.0</t>
  </si>
  <si>
    <t>93.0</t>
  </si>
  <si>
    <t>614.0</t>
  </si>
  <si>
    <t>1089.0</t>
  </si>
  <si>
    <t>1952.0</t>
  </si>
  <si>
    <t>1060.0</t>
  </si>
  <si>
    <t>16360.0</t>
  </si>
  <si>
    <t>2761.0</t>
  </si>
  <si>
    <t>932.0</t>
  </si>
  <si>
    <t>237.0</t>
  </si>
  <si>
    <t>25857.0</t>
  </si>
  <si>
    <t>613.0</t>
  </si>
  <si>
    <t>40.0</t>
  </si>
  <si>
    <t>169.0</t>
  </si>
  <si>
    <t>33.0</t>
  </si>
  <si>
    <t>496.0</t>
  </si>
  <si>
    <t>816.0</t>
  </si>
  <si>
    <t>2136.0</t>
  </si>
  <si>
    <t>1006.0</t>
  </si>
  <si>
    <t>12397.0</t>
  </si>
  <si>
    <t>2142.0</t>
  </si>
  <si>
    <t>877.0</t>
  </si>
  <si>
    <t>21360.0</t>
  </si>
  <si>
    <t>620.0</t>
  </si>
  <si>
    <t>71.0</t>
  </si>
  <si>
    <t>511.0</t>
  </si>
  <si>
    <t>182.0</t>
  </si>
  <si>
    <t>139.0</t>
  </si>
  <si>
    <t>885.0</t>
  </si>
  <si>
    <t>2220.0</t>
  </si>
  <si>
    <t>1183.0</t>
  </si>
  <si>
    <t>11438.0</t>
  </si>
  <si>
    <t>1982.0</t>
  </si>
  <si>
    <t>229.0</t>
  </si>
  <si>
    <t>20734.0</t>
  </si>
  <si>
    <t>655.0</t>
  </si>
  <si>
    <t>559.0</t>
  </si>
  <si>
    <t>160.0</t>
  </si>
  <si>
    <t>105.0</t>
  </si>
  <si>
    <t>521.0</t>
  </si>
  <si>
    <t>963.0</t>
  </si>
  <si>
    <t>2103.0</t>
  </si>
  <si>
    <t>1029.0</t>
  </si>
  <si>
    <t>12794.0</t>
  </si>
  <si>
    <t>2278.0</t>
  </si>
  <si>
    <t>663.0</t>
  </si>
  <si>
    <t>21907.0</t>
  </si>
  <si>
    <t>683.0</t>
  </si>
  <si>
    <t>530.0</t>
  </si>
  <si>
    <t>185.0</t>
  </si>
  <si>
    <t>116.0</t>
  </si>
  <si>
    <t>550.0</t>
  </si>
  <si>
    <t>833.0</t>
  </si>
  <si>
    <t>2065.0</t>
  </si>
  <si>
    <t>1003.0</t>
  </si>
  <si>
    <t>13650.0</t>
  </si>
  <si>
    <t>2281.0</t>
  </si>
  <si>
    <t>883.0</t>
  </si>
  <si>
    <t>22599.0</t>
  </si>
  <si>
    <t>532.0</t>
  </si>
  <si>
    <t>423.0</t>
  </si>
  <si>
    <t>143.0</t>
  </si>
  <si>
    <t>103.0</t>
  </si>
  <si>
    <t>151.0</t>
  </si>
  <si>
    <t>482.0</t>
  </si>
  <si>
    <t>916.0</t>
  </si>
  <si>
    <t>1852.0</t>
  </si>
  <si>
    <t>819.0</t>
  </si>
  <si>
    <t>15149.0</t>
  </si>
  <si>
    <t>2289.0</t>
  </si>
  <si>
    <t>695.0</t>
  </si>
  <si>
    <t>156.0</t>
  </si>
  <si>
    <t>23416.0</t>
  </si>
  <si>
    <t>500.0</t>
  </si>
  <si>
    <t>444.0</t>
  </si>
  <si>
    <t>848.0</t>
  </si>
  <si>
    <t>13773.0</t>
  </si>
  <si>
    <t>39.0</t>
  </si>
  <si>
    <t>2376.0</t>
  </si>
  <si>
    <t>910.0</t>
  </si>
  <si>
    <t>207.0</t>
  </si>
  <si>
    <t>22347.0</t>
  </si>
  <si>
    <t>481.0</t>
  </si>
  <si>
    <t>553.0</t>
  </si>
  <si>
    <t>876.0</t>
  </si>
  <si>
    <t>1823.0</t>
  </si>
  <si>
    <t>874.0</t>
  </si>
  <si>
    <t>13947.0</t>
  </si>
  <si>
    <t>2420.0</t>
  </si>
  <si>
    <t>966.0</t>
  </si>
  <si>
    <t>209.0</t>
  </si>
  <si>
    <t>22761.0</t>
  </si>
  <si>
    <t>717.0</t>
  </si>
  <si>
    <t>137.0</t>
  </si>
  <si>
    <t>75.0</t>
  </si>
  <si>
    <t>125.0</t>
  </si>
  <si>
    <t>650.0</t>
  </si>
  <si>
    <t>892.0</t>
  </si>
  <si>
    <t>2051.0</t>
  </si>
  <si>
    <t>1031.0</t>
  </si>
  <si>
    <t>12727.0</t>
  </si>
  <si>
    <t>2244.0</t>
  </si>
  <si>
    <t>889.0</t>
  </si>
  <si>
    <t>183.0</t>
  </si>
  <si>
    <t>21415.0</t>
  </si>
  <si>
    <t>586.0</t>
  </si>
  <si>
    <t>66.0</t>
  </si>
  <si>
    <t>555.0</t>
  </si>
  <si>
    <t>123.0</t>
  </si>
  <si>
    <t>534.0</t>
  </si>
  <si>
    <t>960.0</t>
  </si>
  <si>
    <t>2043.0</t>
  </si>
  <si>
    <t>1053.0</t>
  </si>
  <si>
    <t>15466.0</t>
  </si>
  <si>
    <t>2428.0</t>
  </si>
  <si>
    <t>994.0</t>
  </si>
  <si>
    <t>24679.0</t>
  </si>
  <si>
    <t>612.0</t>
  </si>
  <si>
    <t>86.0</t>
  </si>
  <si>
    <t>499.0</t>
  </si>
  <si>
    <t>152.0</t>
  </si>
  <si>
    <t>126.0</t>
  </si>
  <si>
    <t>136.0</t>
  </si>
  <si>
    <t>528.0</t>
  </si>
  <si>
    <t>835.0</t>
  </si>
  <si>
    <t>2139.0</t>
  </si>
  <si>
    <t>1043.0</t>
  </si>
  <si>
    <t>12200.0</t>
  </si>
  <si>
    <t>2341.0</t>
  </si>
  <si>
    <t>219.0</t>
  </si>
  <si>
    <t>21064.0</t>
  </si>
  <si>
    <t>575.0</t>
  </si>
  <si>
    <t>441.0</t>
  </si>
  <si>
    <t>452.0</t>
  </si>
  <si>
    <t>1783.0</t>
  </si>
  <si>
    <t>859.0</t>
  </si>
  <si>
    <t>10431.0</t>
  </si>
  <si>
    <t>2199.0</t>
  </si>
  <si>
    <t>1087.0</t>
  </si>
  <si>
    <t>19140.0</t>
  </si>
  <si>
    <t>489.0</t>
  </si>
  <si>
    <t>129.0</t>
  </si>
  <si>
    <t>531.0</t>
  </si>
  <si>
    <t>1837.0</t>
  </si>
  <si>
    <t>11684.0</t>
  </si>
  <si>
    <t>2163.0</t>
  </si>
  <si>
    <t>767.0</t>
  </si>
  <si>
    <t>19855.0</t>
  </si>
  <si>
    <t>510.0</t>
  </si>
  <si>
    <t>76.0</t>
  </si>
  <si>
    <t>145.0</t>
  </si>
  <si>
    <t>542.0</t>
  </si>
  <si>
    <t>866.0</t>
  </si>
  <si>
    <t>2166.0</t>
  </si>
  <si>
    <t>1128.0</t>
  </si>
  <si>
    <t>11854.0</t>
  </si>
  <si>
    <t>905.0</t>
  </si>
  <si>
    <t>20846.0</t>
  </si>
  <si>
    <t>545.0</t>
  </si>
  <si>
    <t>70.0</t>
  </si>
  <si>
    <t>414.0</t>
  </si>
  <si>
    <t>515.0</t>
  </si>
  <si>
    <t>935.0</t>
  </si>
  <si>
    <t>2145.0</t>
  </si>
  <si>
    <t>1023.0</t>
  </si>
  <si>
    <t>10630.0</t>
  </si>
  <si>
    <t>2219.0</t>
  </si>
  <si>
    <t>774.0</t>
  </si>
  <si>
    <t>193.0</t>
  </si>
  <si>
    <t>19541.0</t>
  </si>
  <si>
    <t>551.0</t>
  </si>
  <si>
    <t>469.0</t>
  </si>
  <si>
    <t>466.0</t>
  </si>
  <si>
    <t>2072.0</t>
  </si>
  <si>
    <t>938.0</t>
  </si>
  <si>
    <t>12576.0</t>
  </si>
  <si>
    <t>2311.0</t>
  </si>
  <si>
    <t>21259.0</t>
  </si>
  <si>
    <t>589.0</t>
  </si>
  <si>
    <t>376.0</t>
  </si>
  <si>
    <t>898.0</t>
  </si>
  <si>
    <t>2042.0</t>
  </si>
  <si>
    <t>976.0</t>
  </si>
  <si>
    <t>11739.0</t>
  </si>
  <si>
    <t>2168.0</t>
  </si>
  <si>
    <t>804.0</t>
  </si>
  <si>
    <t>158.0</t>
  </si>
  <si>
    <t>20140.0</t>
  </si>
  <si>
    <t>464.0</t>
  </si>
  <si>
    <t>715.0</t>
  </si>
  <si>
    <t>230.0</t>
  </si>
  <si>
    <t>99.0</t>
  </si>
  <si>
    <t>640.0</t>
  </si>
  <si>
    <t>741.0</t>
  </si>
  <si>
    <t>1322.0</t>
  </si>
  <si>
    <t>716.0</t>
  </si>
  <si>
    <t>19416.0</t>
  </si>
  <si>
    <t>291.0</t>
  </si>
  <si>
    <t>2192.0</t>
  </si>
  <si>
    <t>1039.0</t>
  </si>
  <si>
    <t>257.0</t>
  </si>
  <si>
    <t>30077.0</t>
  </si>
  <si>
    <t>579.0</t>
  </si>
  <si>
    <t>797.0</t>
  </si>
  <si>
    <t>248.0</t>
  </si>
  <si>
    <t>124.0</t>
  </si>
  <si>
    <t>504.0</t>
  </si>
  <si>
    <t>773.0</t>
  </si>
  <si>
    <t>1069.0</t>
  </si>
  <si>
    <t>585.0</t>
  </si>
  <si>
    <t>19923.0</t>
  </si>
  <si>
    <t>2121.0</t>
  </si>
  <si>
    <t>29962.0</t>
  </si>
  <si>
    <t>518.0</t>
  </si>
  <si>
    <t>736.0</t>
  </si>
  <si>
    <t>224.0</t>
  </si>
  <si>
    <t>657.0</t>
  </si>
  <si>
    <t>927.0</t>
  </si>
  <si>
    <t>1279.0</t>
  </si>
  <si>
    <t>722.0</t>
  </si>
  <si>
    <t>19505.0</t>
  </si>
  <si>
    <t>192.0</t>
  </si>
  <si>
    <t>2714.0</t>
  </si>
  <si>
    <t>1021.0</t>
  </si>
  <si>
    <t>269.0</t>
  </si>
  <si>
    <t>29875.0</t>
  </si>
  <si>
    <t>58.0</t>
  </si>
  <si>
    <t>662.0</t>
  </si>
  <si>
    <t>872.0</t>
  </si>
  <si>
    <t>875.0</t>
  </si>
  <si>
    <t>1280.0</t>
  </si>
  <si>
    <t>738.0</t>
  </si>
  <si>
    <t>18991.0</t>
  </si>
  <si>
    <t>225.0</t>
  </si>
  <si>
    <t>2044.0</t>
  </si>
  <si>
    <t>267.0</t>
  </si>
  <si>
    <t>29877.0</t>
  </si>
  <si>
    <t>692.0</t>
  </si>
  <si>
    <t>472.0</t>
  </si>
  <si>
    <t>159.0</t>
  </si>
  <si>
    <t>146.0</t>
  </si>
  <si>
    <t>710.0</t>
  </si>
  <si>
    <t>1764.0</t>
  </si>
  <si>
    <t>1088.0</t>
  </si>
  <si>
    <t>12419.0</t>
  </si>
  <si>
    <t>2208.0</t>
  </si>
  <si>
    <t>1119.0</t>
  </si>
  <si>
    <t>23020.0</t>
  </si>
  <si>
    <t>536.0</t>
  </si>
  <si>
    <t>660.0</t>
  </si>
  <si>
    <t>775.0</t>
  </si>
  <si>
    <t>1602.0</t>
  </si>
  <si>
    <t>854.0</t>
  </si>
  <si>
    <t>15024.0</t>
  </si>
  <si>
    <t>2299.0</t>
  </si>
  <si>
    <t>191.0</t>
  </si>
  <si>
    <t>25205.0</t>
  </si>
  <si>
    <t>584.0</t>
  </si>
  <si>
    <t>572.0</t>
  </si>
  <si>
    <t>201.0</t>
  </si>
  <si>
    <t>740.0</t>
  </si>
  <si>
    <t>939.0</t>
  </si>
  <si>
    <t>1496.0</t>
  </si>
  <si>
    <t>828.0</t>
  </si>
  <si>
    <t>15971.0</t>
  </si>
  <si>
    <t>2229.0</t>
  </si>
  <si>
    <t>690.0</t>
  </si>
  <si>
    <t>210.0</t>
  </si>
  <si>
    <t>26120.0</t>
  </si>
  <si>
    <t>578.0</t>
  </si>
  <si>
    <t>667.0</t>
  </si>
  <si>
    <t>812.0</t>
  </si>
  <si>
    <t>1632.0</t>
  </si>
  <si>
    <t>1011.0</t>
  </si>
  <si>
    <t>16100.0</t>
  </si>
  <si>
    <t>2297.0</t>
  </si>
  <si>
    <t>765.0</t>
  </si>
  <si>
    <t>188.0</t>
  </si>
  <si>
    <t>26306.0</t>
  </si>
  <si>
    <t>467.0</t>
  </si>
  <si>
    <t>544.0</t>
  </si>
  <si>
    <t>743.0</t>
  </si>
  <si>
    <t>781.0</t>
  </si>
  <si>
    <t>1511.0</t>
  </si>
  <si>
    <t>15723.0</t>
  </si>
  <si>
    <t>170.0</t>
  </si>
  <si>
    <t>2099.0</t>
  </si>
  <si>
    <t>1005.0</t>
  </si>
  <si>
    <t>26576.0</t>
  </si>
  <si>
    <t>538.0</t>
  </si>
  <si>
    <t>69.0</t>
  </si>
  <si>
    <t>167.0</t>
  </si>
  <si>
    <t>130.0</t>
  </si>
  <si>
    <t>190.0</t>
  </si>
  <si>
    <t>606.0</t>
  </si>
  <si>
    <t>896.0</t>
  </si>
  <si>
    <t>1601.0</t>
  </si>
  <si>
    <t>15316.0</t>
  </si>
  <si>
    <t>1901.0</t>
  </si>
  <si>
    <t>720.0</t>
  </si>
  <si>
    <t>189.0</t>
  </si>
  <si>
    <t>25662.0</t>
  </si>
  <si>
    <t>601.0</t>
  </si>
  <si>
    <t>364.0</t>
  </si>
  <si>
    <t>574.0</t>
  </si>
  <si>
    <t>688.0</t>
  </si>
  <si>
    <t>1555.0</t>
  </si>
  <si>
    <t>9478.0</t>
  </si>
  <si>
    <t>2171.0</t>
  </si>
  <si>
    <t>697.0</t>
  </si>
  <si>
    <t>174.0</t>
  </si>
  <si>
    <t>18693.0</t>
  </si>
  <si>
    <t>438.0</t>
  </si>
  <si>
    <t>590.0</t>
  </si>
  <si>
    <t>163.0</t>
  </si>
  <si>
    <t>685.0</t>
  </si>
  <si>
    <t>934.0</t>
  </si>
  <si>
    <t>1636.0</t>
  </si>
  <si>
    <t>12319.0</t>
  </si>
  <si>
    <t>2226.0</t>
  </si>
  <si>
    <t>943.0</t>
  </si>
  <si>
    <t>23071.0</t>
  </si>
  <si>
    <t>445.0</t>
  </si>
  <si>
    <t>488.0</t>
  </si>
  <si>
    <t>1880.0</t>
  </si>
  <si>
    <t>10649.0</t>
  </si>
  <si>
    <t>2078.0</t>
  </si>
  <si>
    <t>853.0</t>
  </si>
  <si>
    <t>20876.0</t>
  </si>
  <si>
    <t>448.0</t>
  </si>
  <si>
    <t>473.0</t>
  </si>
  <si>
    <t>148.0</t>
  </si>
  <si>
    <t>557.0</t>
  </si>
  <si>
    <t>824.0</t>
  </si>
  <si>
    <t>1649.0</t>
  </si>
  <si>
    <t>900.0</t>
  </si>
  <si>
    <t>13436.0</t>
  </si>
  <si>
    <t>2307.0</t>
  </si>
  <si>
    <t>865.0</t>
  </si>
  <si>
    <t>23450.0</t>
  </si>
  <si>
    <t>372.0</t>
  </si>
  <si>
    <t>113.0</t>
  </si>
  <si>
    <t>653.0</t>
  </si>
  <si>
    <t>922.0</t>
  </si>
  <si>
    <t>1552.0</t>
  </si>
  <si>
    <t>14497.0</t>
  </si>
  <si>
    <t>2379.0</t>
  </si>
  <si>
    <t>852.0</t>
  </si>
  <si>
    <t>194.0</t>
  </si>
  <si>
    <t>25414.0</t>
  </si>
  <si>
    <t>609.0</t>
  </si>
  <si>
    <t>1596.0</t>
  </si>
  <si>
    <t>14144.0</t>
  </si>
  <si>
    <t>2126.0</t>
  </si>
  <si>
    <t>985.0</t>
  </si>
  <si>
    <t>172.0</t>
  </si>
  <si>
    <t>24442.0</t>
  </si>
  <si>
    <t>491.0</t>
  </si>
  <si>
    <t>476.0</t>
  </si>
  <si>
    <t>624.0</t>
  </si>
  <si>
    <t>1677.0</t>
  </si>
  <si>
    <t>967.0</t>
  </si>
  <si>
    <t>11809.0</t>
  </si>
  <si>
    <t>2363.0</t>
  </si>
  <si>
    <t>930.0</t>
  </si>
  <si>
    <t>21712.0</t>
  </si>
  <si>
    <t>490.0</t>
  </si>
  <si>
    <t>165.0</t>
  </si>
  <si>
    <t>591.0</t>
  </si>
  <si>
    <t>803.0</t>
  </si>
  <si>
    <t>1477.0</t>
  </si>
  <si>
    <t>14518.0</t>
  </si>
  <si>
    <t>962.0</t>
  </si>
  <si>
    <t>24904.0</t>
  </si>
  <si>
    <t>581.0</t>
  </si>
  <si>
    <t>498.0</t>
  </si>
  <si>
    <t>121.0</t>
  </si>
  <si>
    <t>607.0</t>
  </si>
  <si>
    <t>784.0</t>
  </si>
  <si>
    <t>1582.0</t>
  </si>
  <si>
    <t>846.0</t>
  </si>
  <si>
    <t>13124.0</t>
  </si>
  <si>
    <t>2130.0</t>
  </si>
  <si>
    <t>23322.0</t>
  </si>
  <si>
    <t>540.0</t>
  </si>
  <si>
    <t>735.0</t>
  </si>
  <si>
    <t>1278.0</t>
  </si>
  <si>
    <t>693.0</t>
  </si>
  <si>
    <t>14172.0</t>
  </si>
  <si>
    <t>2300.0</t>
  </si>
  <si>
    <t>24327.0</t>
  </si>
  <si>
    <t>659.0</t>
  </si>
  <si>
    <t>834.0</t>
  </si>
  <si>
    <t>288.0</t>
  </si>
  <si>
    <t>705.0</t>
  </si>
  <si>
    <t>772.0</t>
  </si>
  <si>
    <t>1055.0</t>
  </si>
  <si>
    <t>560.0</t>
  </si>
  <si>
    <t>18852.0</t>
  </si>
  <si>
    <t>268.0</t>
  </si>
  <si>
    <t>2071.0</t>
  </si>
  <si>
    <t>1083.0</t>
  </si>
  <si>
    <t>286.0</t>
  </si>
  <si>
    <t>28914.0</t>
  </si>
  <si>
    <t>503.0</t>
  </si>
  <si>
    <t>602.0</t>
  </si>
  <si>
    <t>19318.0</t>
  </si>
  <si>
    <t>243.0</t>
  </si>
  <si>
    <t>2205.0</t>
  </si>
  <si>
    <t>1156.0</t>
  </si>
  <si>
    <t>297.0</t>
  </si>
  <si>
    <t>28968.0</t>
  </si>
  <si>
    <t>622.0</t>
  </si>
  <si>
    <t>839.0</t>
  </si>
  <si>
    <t>818.0</t>
  </si>
  <si>
    <t>1091.0</t>
  </si>
  <si>
    <t>19291.0</t>
  </si>
  <si>
    <t>334.0</t>
  </si>
  <si>
    <t>29807.0</t>
  </si>
  <si>
    <t>713.0</t>
  </si>
  <si>
    <t>681.0</t>
  </si>
  <si>
    <t>844.0</t>
  </si>
  <si>
    <t>1360.0</t>
  </si>
  <si>
    <t>729.0</t>
  </si>
  <si>
    <t>15474.0</t>
  </si>
  <si>
    <t>2535.0</t>
  </si>
  <si>
    <t>912.0</t>
  </si>
  <si>
    <t>241.0</t>
  </si>
  <si>
    <t>25855.0</t>
  </si>
  <si>
    <t>516.0</t>
  </si>
  <si>
    <t>642.0</t>
  </si>
  <si>
    <t>763.0</t>
  </si>
  <si>
    <t>958.0</t>
  </si>
  <si>
    <t>1094.0</t>
  </si>
  <si>
    <t>603.0</t>
  </si>
  <si>
    <t>18575.0</t>
  </si>
  <si>
    <t>2454.0</t>
  </si>
  <si>
    <t>1017.0</t>
  </si>
  <si>
    <t>28704.0</t>
  </si>
  <si>
    <t>526.0</t>
  </si>
  <si>
    <t>805.0</t>
  </si>
  <si>
    <t>802.0</t>
  </si>
  <si>
    <t>1269.0</t>
  </si>
  <si>
    <t>689.0</t>
  </si>
  <si>
    <t>16323.0</t>
  </si>
  <si>
    <t>2335.0</t>
  </si>
  <si>
    <t>26446.0</t>
  </si>
  <si>
    <t>509.0</t>
  </si>
  <si>
    <t>497.0</t>
  </si>
  <si>
    <t>880.0</t>
  </si>
  <si>
    <t>1531.0</t>
  </si>
  <si>
    <t>13127.0</t>
  </si>
  <si>
    <t>2055.0</t>
  </si>
  <si>
    <t>236.0</t>
  </si>
  <si>
    <t>23210.0</t>
  </si>
  <si>
    <t>827.0</t>
  </si>
  <si>
    <t>768.0</t>
  </si>
  <si>
    <t>14832.0</t>
  </si>
  <si>
    <t>24914.0</t>
  </si>
  <si>
    <t>600.0</t>
  </si>
  <si>
    <t>777.0</t>
  </si>
  <si>
    <t>785.0</t>
  </si>
  <si>
    <t>1499.0</t>
  </si>
  <si>
    <t>815.0</t>
  </si>
  <si>
    <t>13540.0</t>
  </si>
  <si>
    <t>2433.0</t>
  </si>
  <si>
    <t>23678.0</t>
  </si>
  <si>
    <t>161.0</t>
  </si>
  <si>
    <t>730.0</t>
  </si>
  <si>
    <t>709.0</t>
  </si>
  <si>
    <t>1557.0</t>
  </si>
  <si>
    <t>832.0</t>
  </si>
  <si>
    <t>11792.0</t>
  </si>
  <si>
    <t>2203.0</t>
  </si>
  <si>
    <t>752.0</t>
  </si>
  <si>
    <t>21245.0</t>
  </si>
  <si>
    <t>463.0</t>
  </si>
  <si>
    <t>745.0</t>
  </si>
  <si>
    <t>1459.0</t>
  </si>
  <si>
    <t>16505.0</t>
  </si>
  <si>
    <t>112.0</t>
  </si>
  <si>
    <t>2104.0</t>
  </si>
  <si>
    <t>727.0</t>
  </si>
  <si>
    <t>26134.0</t>
  </si>
  <si>
    <t>402.0</t>
  </si>
  <si>
    <t>724.0</t>
  </si>
  <si>
    <t>1010.0</t>
  </si>
  <si>
    <t>10307.0</t>
  </si>
  <si>
    <t>2176.0</t>
  </si>
  <si>
    <t>661.0</t>
  </si>
  <si>
    <t>19825.0</t>
  </si>
  <si>
    <t>383.0</t>
  </si>
  <si>
    <t>162.0</t>
  </si>
  <si>
    <t>829.0</t>
  </si>
  <si>
    <t>1641.0</t>
  </si>
  <si>
    <t>904.0</t>
  </si>
  <si>
    <t>12489.0</t>
  </si>
  <si>
    <t>2265.0</t>
  </si>
  <si>
    <t>884.0</t>
  </si>
  <si>
    <t>180.0</t>
  </si>
  <si>
    <t>22903.0</t>
  </si>
  <si>
    <t>558.0</t>
  </si>
  <si>
    <t>1638.0</t>
  </si>
  <si>
    <t>11404.0</t>
  </si>
  <si>
    <t>2277.0</t>
  </si>
  <si>
    <t>21587.0</t>
  </si>
  <si>
    <t>131.0</t>
  </si>
  <si>
    <t>908.0</t>
  </si>
  <si>
    <t>1353.0</t>
  </si>
  <si>
    <t>666.0</t>
  </si>
  <si>
    <t>14753.0</t>
  </si>
  <si>
    <t>2607.0</t>
  </si>
  <si>
    <t>25000.0</t>
  </si>
  <si>
    <t>436.0</t>
  </si>
  <si>
    <t>537.0</t>
  </si>
  <si>
    <t>1618.0</t>
  </si>
  <si>
    <t>13020.0</t>
  </si>
  <si>
    <t>940.0</t>
  </si>
  <si>
    <t>22641.0</t>
  </si>
  <si>
    <t>410.0</t>
  </si>
  <si>
    <t>118.0</t>
  </si>
  <si>
    <t>459.0</t>
  </si>
  <si>
    <t>13591.0</t>
  </si>
  <si>
    <t>2348.0</t>
  </si>
  <si>
    <t>825.0</t>
  </si>
  <si>
    <t>23571.0</t>
  </si>
  <si>
    <t>524.0</t>
  </si>
  <si>
    <t>549.0</t>
  </si>
  <si>
    <t>755.0</t>
  </si>
  <si>
    <t>830.0</t>
  </si>
  <si>
    <t>1623.0</t>
  </si>
  <si>
    <t>870.0</t>
  </si>
  <si>
    <t>14616.0</t>
  </si>
  <si>
    <t>164.0</t>
  </si>
  <si>
    <t>2197.0</t>
  </si>
  <si>
    <t>24973.0</t>
  </si>
  <si>
    <t>522.0</t>
  </si>
  <si>
    <t>533.0</t>
  </si>
  <si>
    <t>1356.0</t>
  </si>
  <si>
    <t>751.0</t>
  </si>
  <si>
    <t>13509.0</t>
  </si>
  <si>
    <t>1977.0</t>
  </si>
  <si>
    <t>388.0</t>
  </si>
  <si>
    <t>157.0</t>
  </si>
  <si>
    <t>674.0</t>
  </si>
  <si>
    <t>760.0</t>
  </si>
  <si>
    <t>1528.0</t>
  </si>
  <si>
    <t>11731.0</t>
  </si>
  <si>
    <t>2128.0</t>
  </si>
  <si>
    <t>753.0</t>
  </si>
  <si>
    <t>150.0</t>
  </si>
  <si>
    <t>21522.0</t>
  </si>
  <si>
    <t>535.0</t>
  </si>
  <si>
    <t>618.0</t>
  </si>
  <si>
    <t>107.0</t>
  </si>
  <si>
    <t>646.0</t>
  </si>
  <si>
    <t>634.0</t>
  </si>
  <si>
    <t>18870.0</t>
  </si>
  <si>
    <t>2279.0</t>
  </si>
  <si>
    <t>2411.0</t>
  </si>
  <si>
    <t>26671.0</t>
  </si>
  <si>
    <t>471.0</t>
  </si>
  <si>
    <t>244.0</t>
  </si>
  <si>
    <t>616.0</t>
  </si>
  <si>
    <t>762.0</t>
  </si>
  <si>
    <t>19236.0</t>
  </si>
  <si>
    <t>252.0</t>
  </si>
  <si>
    <t>2465.0</t>
  </si>
  <si>
    <t>27426.0</t>
  </si>
  <si>
    <t>573.0</t>
  </si>
  <si>
    <t>546.0</t>
  </si>
  <si>
    <t>629.0</t>
  </si>
  <si>
    <t>826.0</t>
  </si>
  <si>
    <t>680.0</t>
  </si>
  <si>
    <t>17768.0</t>
  </si>
  <si>
    <t>1721.0</t>
  </si>
  <si>
    <t>2469.0</t>
  </si>
  <si>
    <t>222.0</t>
  </si>
  <si>
    <t>25892.0</t>
  </si>
  <si>
    <t>654.0</t>
  </si>
  <si>
    <t>1077.0</t>
  </si>
  <si>
    <t>580.0</t>
  </si>
  <si>
    <t>20150.0</t>
  </si>
  <si>
    <t>373.0</t>
  </si>
  <si>
    <t>1462.0</t>
  </si>
  <si>
    <t>928.0</t>
  </si>
  <si>
    <t>28629.0</t>
  </si>
  <si>
    <t>582.0</t>
  </si>
  <si>
    <t>592.0</t>
  </si>
  <si>
    <t>1073.0</t>
  </si>
  <si>
    <t>563.0</t>
  </si>
  <si>
    <t>16728.0</t>
  </si>
  <si>
    <t>2038.0</t>
  </si>
  <si>
    <t>2500.0</t>
  </si>
  <si>
    <t>24941.0</t>
  </si>
  <si>
    <t>493.0</t>
  </si>
  <si>
    <t>754.0</t>
  </si>
  <si>
    <t>1363.0</t>
  </si>
  <si>
    <t>16791.0</t>
  </si>
  <si>
    <t>2407.0</t>
  </si>
  <si>
    <t>954.0</t>
  </si>
  <si>
    <t>25438.0</t>
  </si>
  <si>
    <t>1265.0</t>
  </si>
  <si>
    <t>652.0</t>
  </si>
  <si>
    <t>14371.0</t>
  </si>
  <si>
    <t>2232.0</t>
  </si>
  <si>
    <t>2089.0</t>
  </si>
  <si>
    <t>1019.0</t>
  </si>
  <si>
    <t>245.0</t>
  </si>
  <si>
    <t>22628.0</t>
  </si>
  <si>
    <t>1316.0</t>
  </si>
  <si>
    <t>791.0</t>
  </si>
  <si>
    <t>10349.0</t>
  </si>
  <si>
    <t>2062.0</t>
  </si>
  <si>
    <t>1382.0</t>
  </si>
  <si>
    <t>766.0</t>
  </si>
  <si>
    <t>18195.0</t>
  </si>
  <si>
    <t>449.0</t>
  </si>
  <si>
    <t>1116.0</t>
  </si>
  <si>
    <t>621.0</t>
  </si>
  <si>
    <t>14611.0</t>
  </si>
  <si>
    <t>1970.0</t>
  </si>
  <si>
    <t>973.0</t>
  </si>
  <si>
    <t>22681.0</t>
  </si>
  <si>
    <t>350.0</t>
  </si>
  <si>
    <t>570.0</t>
  </si>
  <si>
    <t>1466.0</t>
  </si>
  <si>
    <t>12704.0</t>
  </si>
  <si>
    <t>104.0</t>
  </si>
  <si>
    <t>2360.0</t>
  </si>
  <si>
    <t>1579.0</t>
  </si>
  <si>
    <t>850.0</t>
  </si>
  <si>
    <t>197.0</t>
  </si>
  <si>
    <t>21351.0</t>
  </si>
  <si>
    <t>694.0</t>
  </si>
  <si>
    <t>820.0</t>
  </si>
  <si>
    <t>1291.0</t>
  </si>
  <si>
    <t>14166.0</t>
  </si>
  <si>
    <t>863.0</t>
  </si>
  <si>
    <t>597.0</t>
  </si>
  <si>
    <t>725.0</t>
  </si>
  <si>
    <t>14252.0</t>
  </si>
  <si>
    <t>2286.0</t>
  </si>
  <si>
    <t>2138.0</t>
  </si>
  <si>
    <t>807.0</t>
  </si>
  <si>
    <t>22224.0</t>
  </si>
  <si>
    <t>453.0</t>
  </si>
  <si>
    <t>734.0</t>
  </si>
  <si>
    <t>748.0</t>
  </si>
  <si>
    <t>1521.0</t>
  </si>
  <si>
    <t>799.0</t>
  </si>
  <si>
    <t>11178.0</t>
  </si>
  <si>
    <t>2057.0</t>
  </si>
  <si>
    <t>1558.0</t>
  </si>
  <si>
    <t>821.0</t>
  </si>
  <si>
    <t>19421.0</t>
  </si>
  <si>
    <t>357.0</t>
  </si>
  <si>
    <t>547.0</t>
  </si>
  <si>
    <t>1513.0</t>
  </si>
  <si>
    <t>16345.0</t>
  </si>
  <si>
    <t>2563.0</t>
  </si>
  <si>
    <t>24796.0</t>
  </si>
  <si>
    <t>507.0</t>
  </si>
  <si>
    <t>168.0</t>
  </si>
  <si>
    <t>608.0</t>
  </si>
  <si>
    <t>1025.0</t>
  </si>
  <si>
    <t>598.0</t>
  </si>
  <si>
    <t>14194.0</t>
  </si>
  <si>
    <t>2041.0</t>
  </si>
  <si>
    <t>202.0</t>
  </si>
  <si>
    <t>22108.0</t>
  </si>
  <si>
    <t>527.0</t>
  </si>
  <si>
    <t>677.0</t>
  </si>
  <si>
    <t>1205.0</t>
  </si>
  <si>
    <t>14823.0</t>
  </si>
  <si>
    <t>2350.0</t>
  </si>
  <si>
    <t>2256.0</t>
  </si>
  <si>
    <t>1104.0</t>
  </si>
  <si>
    <t>22772.0</t>
  </si>
  <si>
    <t>426.0</t>
  </si>
  <si>
    <t>97.0</t>
  </si>
  <si>
    <t>206.0</t>
  </si>
  <si>
    <t>780.0</t>
  </si>
  <si>
    <t>1616.0</t>
  </si>
  <si>
    <t>15113.0</t>
  </si>
  <si>
    <t>2582.0</t>
  </si>
  <si>
    <t>2543.0</t>
  </si>
  <si>
    <t>836.0</t>
  </si>
  <si>
    <t>23616.0</t>
  </si>
  <si>
    <t>914.0</t>
  </si>
  <si>
    <t>1196.0</t>
  </si>
  <si>
    <t>628.0</t>
  </si>
  <si>
    <t>15180.0</t>
  </si>
  <si>
    <t>2217.0</t>
  </si>
  <si>
    <t>2183.0</t>
  </si>
  <si>
    <t>23517.0</t>
  </si>
  <si>
    <t>401.0</t>
  </si>
  <si>
    <t>179.0</t>
  </si>
  <si>
    <t>1261.0</t>
  </si>
  <si>
    <t>771.0</t>
  </si>
  <si>
    <t>14036.0</t>
  </si>
  <si>
    <t>2657.0</t>
  </si>
  <si>
    <t>2221.0</t>
  </si>
  <si>
    <t>21652.0</t>
  </si>
  <si>
    <t>375.0</t>
  </si>
  <si>
    <t>583.0</t>
  </si>
  <si>
    <t>723.0</t>
  </si>
  <si>
    <t>13367.0</t>
  </si>
  <si>
    <t>1903.0</t>
  </si>
  <si>
    <t>814.0</t>
  </si>
  <si>
    <t>21823.0</t>
  </si>
  <si>
    <t>250.0</t>
  </si>
  <si>
    <t>631.0</t>
  </si>
  <si>
    <t>20863.0</t>
  </si>
  <si>
    <t>321.0</t>
  </si>
  <si>
    <t>1734.0</t>
  </si>
  <si>
    <t>2937.0</t>
  </si>
  <si>
    <t>843.0</t>
  </si>
  <si>
    <t>28620.0</t>
  </si>
  <si>
    <t>480.0</t>
  </si>
  <si>
    <t>1165.0</t>
  </si>
  <si>
    <t>749.0</t>
  </si>
  <si>
    <t>20184.0</t>
  </si>
  <si>
    <t>2189.0</t>
  </si>
  <si>
    <t>2765.0</t>
  </si>
  <si>
    <t>1018.0</t>
  </si>
  <si>
    <t>279.0</t>
  </si>
  <si>
    <t>28113.0</t>
  </si>
  <si>
    <t>637.0</t>
  </si>
  <si>
    <t>411.0</t>
  </si>
  <si>
    <t>20599.0</t>
  </si>
  <si>
    <t>294.0</t>
  </si>
  <si>
    <t>1665.0</t>
  </si>
  <si>
    <t>2754.0</t>
  </si>
  <si>
    <t>262.0</t>
  </si>
  <si>
    <t>28338.0</t>
  </si>
  <si>
    <t>587.0</t>
  </si>
  <si>
    <t>701.0</t>
  </si>
  <si>
    <t>733.0</t>
  </si>
  <si>
    <t>1045.0</t>
  </si>
  <si>
    <t>561.0</t>
  </si>
  <si>
    <t>19564.0</t>
  </si>
  <si>
    <t>2323.0</t>
  </si>
  <si>
    <t>2944.0</t>
  </si>
  <si>
    <t>27761.0</t>
  </si>
  <si>
    <t>539.0</t>
  </si>
  <si>
    <t>987.0</t>
  </si>
  <si>
    <t>475.0</t>
  </si>
  <si>
    <t>14638.0</t>
  </si>
  <si>
    <t>2384.0</t>
  </si>
  <si>
    <t>171.0</t>
  </si>
  <si>
    <t>22210.0</t>
  </si>
  <si>
    <t>671.0</t>
  </si>
  <si>
    <t>881.0</t>
  </si>
  <si>
    <t>477.0</t>
  </si>
  <si>
    <t>18766.0</t>
  </si>
  <si>
    <t>2021.0</t>
  </si>
  <si>
    <t>2886.0</t>
  </si>
  <si>
    <t>972.0</t>
  </si>
  <si>
    <t>26276.0</t>
  </si>
  <si>
    <t>571.0</t>
  </si>
  <si>
    <t>617.0</t>
  </si>
  <si>
    <t>1130.0</t>
  </si>
  <si>
    <t>15063.0</t>
  </si>
  <si>
    <t>2048.0</t>
  </si>
  <si>
    <t>2108.0</t>
  </si>
  <si>
    <t>22706.0</t>
  </si>
  <si>
    <t>487.0</t>
  </si>
  <si>
    <t>541.0</t>
  </si>
  <si>
    <t>644.0</t>
  </si>
  <si>
    <t>669.0</t>
  </si>
  <si>
    <t>479.0</t>
  </si>
  <si>
    <t>17669.0</t>
  </si>
  <si>
    <t>2004.0</t>
  </si>
  <si>
    <t>3004.0</t>
  </si>
  <si>
    <t>649.0</t>
  </si>
  <si>
    <t>24891.0</t>
  </si>
  <si>
    <t>108.0</t>
  </si>
  <si>
    <t>728.0</t>
  </si>
  <si>
    <t>365.0</t>
  </si>
  <si>
    <t>18797.0</t>
  </si>
  <si>
    <t>2260.0</t>
  </si>
  <si>
    <t>2991.0</t>
  </si>
  <si>
    <t>1103.0</t>
  </si>
  <si>
    <t>309.0</t>
  </si>
  <si>
    <t>26450.0</t>
  </si>
  <si>
    <t>440.0</t>
  </si>
  <si>
    <t>556.0</t>
  </si>
  <si>
    <t>14691.0</t>
  </si>
  <si>
    <t>1776.0</t>
  </si>
  <si>
    <t>2094.0</t>
  </si>
  <si>
    <t>22205.0</t>
  </si>
  <si>
    <t>514.0</t>
  </si>
  <si>
    <t>468.0</t>
  </si>
  <si>
    <t>1451.0</t>
  </si>
  <si>
    <t>15165.0</t>
  </si>
  <si>
    <t>2430.0</t>
  </si>
  <si>
    <t>22830.0</t>
  </si>
  <si>
    <t>379.0</t>
  </si>
  <si>
    <t>1048.0</t>
  </si>
  <si>
    <t>439.0</t>
  </si>
  <si>
    <t>20795.0</t>
  </si>
  <si>
    <t>3726.0</t>
  </si>
  <si>
    <t>721.0</t>
  </si>
  <si>
    <t>28300.0</t>
  </si>
  <si>
    <t>1910.0</t>
  </si>
  <si>
    <t>959.0</t>
  </si>
  <si>
    <t>10831.0</t>
  </si>
  <si>
    <t>2194.0</t>
  </si>
  <si>
    <t>1699.0</t>
  </si>
  <si>
    <t>166.0</t>
  </si>
  <si>
    <t>18936.0</t>
  </si>
  <si>
    <t>460.0</t>
  </si>
  <si>
    <t>458.0</t>
  </si>
  <si>
    <t>1158.0</t>
  </si>
  <si>
    <t>13913.0</t>
  </si>
  <si>
    <t>2135.0</t>
  </si>
  <si>
    <t>2159.0</t>
  </si>
  <si>
    <t>21770.0</t>
  </si>
  <si>
    <t>519.0</t>
  </si>
  <si>
    <t>925.0</t>
  </si>
  <si>
    <t>413.0</t>
  </si>
  <si>
    <t>15715.0</t>
  </si>
  <si>
    <t>2322.0</t>
  </si>
  <si>
    <t>22943.0</t>
  </si>
  <si>
    <t>495.0</t>
  </si>
  <si>
    <t>732.0</t>
  </si>
  <si>
    <t>1255.0</t>
  </si>
  <si>
    <t>648.0</t>
  </si>
  <si>
    <t>13580.0</t>
  </si>
  <si>
    <t>2123.0</t>
  </si>
  <si>
    <t>1955.0</t>
  </si>
  <si>
    <t>21694.0</t>
  </si>
  <si>
    <t>442.0</t>
  </si>
  <si>
    <t>764.0</t>
  </si>
  <si>
    <t>13383.0</t>
  </si>
  <si>
    <t>2149.0</t>
  </si>
  <si>
    <t>2005.0</t>
  </si>
  <si>
    <t>21309.0</t>
  </si>
  <si>
    <t>429.0</t>
  </si>
  <si>
    <t>1328.0</t>
  </si>
  <si>
    <t>12424.0</t>
  </si>
  <si>
    <t>2067.0</t>
  </si>
  <si>
    <t>1934.0</t>
  </si>
  <si>
    <t>610.0</t>
  </si>
  <si>
    <t>20036.0</t>
  </si>
  <si>
    <t>370.0</t>
  </si>
  <si>
    <t>176.0</t>
  </si>
  <si>
    <t>1301.0</t>
  </si>
  <si>
    <t>682.0</t>
  </si>
  <si>
    <t>13158.0</t>
  </si>
  <si>
    <t>1980.0</t>
  </si>
  <si>
    <t>2013.0</t>
  </si>
  <si>
    <t>218.0</t>
  </si>
  <si>
    <t>21017.0</t>
  </si>
  <si>
    <t>300.0</t>
  </si>
  <si>
    <t>619.0</t>
  </si>
  <si>
    <t>1178.0</t>
  </si>
  <si>
    <t>14860.0</t>
  </si>
  <si>
    <t>2249.0</t>
  </si>
  <si>
    <t>2538.0</t>
  </si>
  <si>
    <t>999.0</t>
  </si>
  <si>
    <t>22585.0</t>
  </si>
  <si>
    <t>425.0</t>
  </si>
  <si>
    <t>731.0</t>
  </si>
  <si>
    <t>1319.0</t>
  </si>
  <si>
    <t>19696.0</t>
  </si>
  <si>
    <t>1973.0</t>
  </si>
  <si>
    <t>2727.0</t>
  </si>
  <si>
    <t>27264.0</t>
  </si>
  <si>
    <t>492.0</t>
  </si>
  <si>
    <t>1068.0</t>
  </si>
  <si>
    <t>20061.0</t>
  </si>
  <si>
    <t>1613.0</t>
  </si>
  <si>
    <t>2720.0</t>
  </si>
  <si>
    <t>27525.0</t>
  </si>
  <si>
    <t>626.0</t>
  </si>
  <si>
    <t>981.0</t>
  </si>
  <si>
    <t>18425.0</t>
  </si>
  <si>
    <t>2008.0</t>
  </si>
  <si>
    <t>2790.0</t>
  </si>
  <si>
    <t>240.0</t>
  </si>
  <si>
    <t>25959.0</t>
  </si>
  <si>
    <t>434.0</t>
  </si>
  <si>
    <t>21110.0</t>
  </si>
  <si>
    <t>1755.0</t>
  </si>
  <si>
    <t>3079.0</t>
  </si>
  <si>
    <t>951.0</t>
  </si>
  <si>
    <t>28862.0</t>
  </si>
  <si>
    <t>1595.0</t>
  </si>
  <si>
    <t>16647.0</t>
  </si>
  <si>
    <t>2028.0</t>
  </si>
  <si>
    <t>2542.0</t>
  </si>
  <si>
    <t>25155.0</t>
  </si>
  <si>
    <t>633.0</t>
  </si>
  <si>
    <t>1172.0</t>
  </si>
  <si>
    <t>15829.0</t>
  </si>
  <si>
    <t>2271.0</t>
  </si>
  <si>
    <t>989.0</t>
  </si>
  <si>
    <t>23854.0</t>
  </si>
  <si>
    <t>739.0</t>
  </si>
  <si>
    <t>232.0</t>
  </si>
  <si>
    <t>795.0</t>
  </si>
  <si>
    <t>19802.0</t>
  </si>
  <si>
    <t>2040.0</t>
  </si>
  <si>
    <t>794.0</t>
  </si>
  <si>
    <t>284.0</t>
  </si>
  <si>
    <t>27722.0</t>
  </si>
  <si>
    <t>529.0</t>
  </si>
  <si>
    <t>377.0</t>
  </si>
  <si>
    <t>1079.0</t>
  </si>
  <si>
    <t>670.0</t>
  </si>
  <si>
    <t>14367.0</t>
  </si>
  <si>
    <t>1896.0</t>
  </si>
  <si>
    <t>778.0</t>
  </si>
  <si>
    <t>21491.0</t>
  </si>
  <si>
    <t>455.0</t>
  </si>
  <si>
    <t>1520.0</t>
  </si>
  <si>
    <t>788.0</t>
  </si>
  <si>
    <t>12582.0</t>
  </si>
  <si>
    <t>2111.0</t>
  </si>
  <si>
    <t>1014.0</t>
  </si>
  <si>
    <t>20669.0</t>
  </si>
  <si>
    <t>1274.0</t>
  </si>
  <si>
    <t>16940.0</t>
  </si>
  <si>
    <t>2131.0</t>
  </si>
  <si>
    <t>2887.0</t>
  </si>
  <si>
    <t>24744.0</t>
  </si>
  <si>
    <t>1584.0</t>
  </si>
  <si>
    <t>14599.0</t>
  </si>
  <si>
    <t>2285.0</t>
  </si>
  <si>
    <t>2364.0</t>
  </si>
  <si>
    <t>941.0</t>
  </si>
  <si>
    <t>23005.0</t>
  </si>
  <si>
    <t>19943.0</t>
  </si>
  <si>
    <t>2024.0</t>
  </si>
  <si>
    <t>3599.0</t>
  </si>
  <si>
    <t>790.0</t>
  </si>
  <si>
    <t>27641.0</t>
  </si>
  <si>
    <t>14247.0</t>
  </si>
  <si>
    <t>1900.0</t>
  </si>
  <si>
    <t>2236.0</t>
  </si>
  <si>
    <t>676.0</t>
  </si>
  <si>
    <t>22314.0</t>
  </si>
  <si>
    <t>1146.0</t>
  </si>
  <si>
    <t>437.0</t>
  </si>
  <si>
    <t>13403.0</t>
  </si>
  <si>
    <t>1994.0</t>
  </si>
  <si>
    <t>2178.0</t>
  </si>
  <si>
    <t>837.0</t>
  </si>
  <si>
    <t>20675.0</t>
  </si>
  <si>
    <t>387.0</t>
  </si>
  <si>
    <t>109.0</t>
  </si>
  <si>
    <t>779.0</t>
  </si>
  <si>
    <t>1275.0</t>
  </si>
  <si>
    <t>566.0</t>
  </si>
  <si>
    <t>16810.0</t>
  </si>
  <si>
    <t>1826.0</t>
  </si>
  <si>
    <t>2578.0</t>
  </si>
  <si>
    <t>25365.0</t>
  </si>
  <si>
    <t>390.0</t>
  </si>
  <si>
    <t>1161.0</t>
  </si>
  <si>
    <t>567.0</t>
  </si>
  <si>
    <t>12287.0</t>
  </si>
  <si>
    <t>1989.0</t>
  </si>
  <si>
    <t>1838.0</t>
  </si>
  <si>
    <t>19830.0</t>
  </si>
  <si>
    <t>397.0</t>
  </si>
  <si>
    <t>417.0</t>
  </si>
  <si>
    <t>1155.0</t>
  </si>
  <si>
    <t>13109.0</t>
  </si>
  <si>
    <t>1984.0</t>
  </si>
  <si>
    <t>868.0</t>
  </si>
  <si>
    <t>20782.0</t>
  </si>
  <si>
    <t>17927.0</t>
  </si>
  <si>
    <t>2773.0</t>
  </si>
  <si>
    <t>25173.0</t>
  </si>
  <si>
    <t>394.0</t>
  </si>
  <si>
    <t>1300.0</t>
  </si>
  <si>
    <t>11806.0</t>
  </si>
  <si>
    <t>1855.0</t>
  </si>
  <si>
    <t>1760.0</t>
  </si>
  <si>
    <t>1009.0</t>
  </si>
  <si>
    <t>19613.0</t>
  </si>
  <si>
    <t>703.0</t>
  </si>
  <si>
    <t>13632.0</t>
  </si>
  <si>
    <t>1800.0</t>
  </si>
  <si>
    <t>1925.0</t>
  </si>
  <si>
    <t>21941.0</t>
  </si>
  <si>
    <t>673.0</t>
  </si>
  <si>
    <t>756.0</t>
  </si>
  <si>
    <t>20761.0</t>
  </si>
  <si>
    <t>1791.0</t>
  </si>
  <si>
    <t>3195.0</t>
  </si>
  <si>
    <t>283.0</t>
  </si>
  <si>
    <t>28341.0</t>
  </si>
  <si>
    <t>651.0</t>
  </si>
  <si>
    <t>1339.0</t>
  </si>
  <si>
    <t>19599.0</t>
  </si>
  <si>
    <t>1895.0</t>
  </si>
  <si>
    <t>2959.0</t>
  </si>
  <si>
    <t>643.0</t>
  </si>
  <si>
    <t>28172.0</t>
  </si>
  <si>
    <t>427.0</t>
  </si>
  <si>
    <t>106.0</t>
  </si>
  <si>
    <t>380.0</t>
  </si>
  <si>
    <t>1141.0</t>
  </si>
  <si>
    <t>18266.0</t>
  </si>
  <si>
    <t>2052.0</t>
  </si>
  <si>
    <t>26541.0</t>
  </si>
  <si>
    <t>392.0</t>
  </si>
  <si>
    <t>523.0</t>
  </si>
  <si>
    <t>714.0</t>
  </si>
  <si>
    <t>1207.0</t>
  </si>
  <si>
    <t>21561.0</t>
  </si>
  <si>
    <t>1799.0</t>
  </si>
  <si>
    <t>3211.0</t>
  </si>
  <si>
    <t>29825.0</t>
  </si>
  <si>
    <t>367.0</t>
  </si>
  <si>
    <t>672.0</t>
  </si>
  <si>
    <t>18301.0</t>
  </si>
  <si>
    <t>2239.0</t>
  </si>
  <si>
    <t>2871.0</t>
  </si>
  <si>
    <t>251.0</t>
  </si>
  <si>
    <t>26857.0</t>
  </si>
  <si>
    <t>588.0</t>
  </si>
  <si>
    <t>974.0</t>
  </si>
  <si>
    <t>17933.0</t>
  </si>
  <si>
    <t>2596.0</t>
  </si>
  <si>
    <t>26241.0</t>
  </si>
  <si>
    <t>595.0</t>
  </si>
  <si>
    <t>856.0</t>
  </si>
  <si>
    <t>18894.0</t>
  </si>
  <si>
    <t>2077.0</t>
  </si>
  <si>
    <t>2898.0</t>
  </si>
  <si>
    <t>1000.0</t>
  </si>
  <si>
    <t>27367.0</t>
  </si>
  <si>
    <t>1110.0</t>
  </si>
  <si>
    <t>596.0</t>
  </si>
  <si>
    <t>16087.0</t>
  </si>
  <si>
    <t>1810.0</t>
  </si>
  <si>
    <t>2424.0</t>
  </si>
  <si>
    <t>787.0</t>
  </si>
  <si>
    <t>24484.0</t>
  </si>
  <si>
    <t>1201.0</t>
  </si>
  <si>
    <t>19577.0</t>
  </si>
  <si>
    <t>2401.0</t>
  </si>
  <si>
    <t>3121.0</t>
  </si>
  <si>
    <t>28030.0</t>
  </si>
  <si>
    <t>845.0</t>
  </si>
  <si>
    <t>1409.0</t>
  </si>
  <si>
    <t>1904.0</t>
  </si>
  <si>
    <t>1752.0</t>
  </si>
  <si>
    <t>706.0</t>
  </si>
  <si>
    <t>20309.0</t>
  </si>
  <si>
    <t>428.0</t>
  </si>
  <si>
    <t>1090.0</t>
  </si>
  <si>
    <t>604.0</t>
  </si>
  <si>
    <t>15324.0</t>
  </si>
  <si>
    <t>2453.0</t>
  </si>
  <si>
    <t>23324.0</t>
  </si>
  <si>
    <t>21113.0</t>
  </si>
  <si>
    <t>3312.0</t>
  </si>
  <si>
    <t>902.0</t>
  </si>
  <si>
    <t>29158.0</t>
  </si>
  <si>
    <t>400.0</t>
  </si>
  <si>
    <t>422.0</t>
  </si>
  <si>
    <t>1401.0</t>
  </si>
  <si>
    <t>12364.0</t>
  </si>
  <si>
    <t>2061.0</t>
  </si>
  <si>
    <t>2016.0</t>
  </si>
  <si>
    <t>20511.0</t>
  </si>
  <si>
    <t>371.0</t>
  </si>
  <si>
    <t>431.0</t>
  </si>
  <si>
    <t>747.0</t>
  </si>
  <si>
    <t>13856.0</t>
  </si>
  <si>
    <t>2298.0</t>
  </si>
  <si>
    <t>2231.0</t>
  </si>
  <si>
    <t>21453.0</t>
  </si>
  <si>
    <t>359.0</t>
  </si>
  <si>
    <t>15267.0</t>
  </si>
  <si>
    <t>2181.0</t>
  </si>
  <si>
    <t>2431.0</t>
  </si>
  <si>
    <t>22985.0</t>
  </si>
  <si>
    <t>702.0</t>
  </si>
  <si>
    <t>903.0</t>
  </si>
  <si>
    <t>14457.0</t>
  </si>
  <si>
    <t>2092.0</t>
  </si>
  <si>
    <t>2254.0</t>
  </si>
  <si>
    <t>21922.0</t>
  </si>
  <si>
    <t>1351.0</t>
  </si>
  <si>
    <t>14674.0</t>
  </si>
  <si>
    <t>2180.0</t>
  </si>
  <si>
    <t>2329.0</t>
  </si>
  <si>
    <t>708.0</t>
  </si>
  <si>
    <t>22771.0</t>
  </si>
  <si>
    <t>675.0</t>
  </si>
  <si>
    <t>1071.0</t>
  </si>
  <si>
    <t>14747.0</t>
  </si>
  <si>
    <t>2105.0</t>
  </si>
  <si>
    <t>2264.0</t>
  </si>
  <si>
    <t>22570.0</t>
  </si>
  <si>
    <t>1268.0</t>
  </si>
  <si>
    <t>14007.0</t>
  </si>
  <si>
    <t>2047.0</t>
  </si>
  <si>
    <t>2195.0</t>
  </si>
  <si>
    <t>792.0</t>
  </si>
  <si>
    <t>22018.0</t>
  </si>
  <si>
    <t>1176.0</t>
  </si>
  <si>
    <t>712.0</t>
  </si>
  <si>
    <t>14704.0</t>
  </si>
  <si>
    <t>1942.0</t>
  </si>
  <si>
    <t>2036.0</t>
  </si>
  <si>
    <t>22866.0</t>
  </si>
  <si>
    <t>564.0</t>
  </si>
  <si>
    <t>759.0</t>
  </si>
  <si>
    <t>1027.0</t>
  </si>
  <si>
    <t>611.0</t>
  </si>
  <si>
    <t>20268.0</t>
  </si>
  <si>
    <t>3259.0</t>
  </si>
  <si>
    <t>27861.0</t>
  </si>
  <si>
    <t>569.0</t>
  </si>
  <si>
    <t>22107.0</t>
  </si>
  <si>
    <t>1937.0</t>
  </si>
  <si>
    <t>3140.0</t>
  </si>
  <si>
    <t>29652.0</t>
  </si>
  <si>
    <t>227.0</t>
  </si>
  <si>
    <t>565.0</t>
  </si>
  <si>
    <t>20527.0</t>
  </si>
  <si>
    <t>1749.0</t>
  </si>
  <si>
    <t>2793.0</t>
  </si>
  <si>
    <t>29045.0</t>
  </si>
  <si>
    <t>512.0</t>
  </si>
  <si>
    <t>679.0</t>
  </si>
  <si>
    <t>1118.0</t>
  </si>
  <si>
    <t>21311.0</t>
  </si>
  <si>
    <t>2969.0</t>
  </si>
  <si>
    <t>3457.0</t>
  </si>
  <si>
    <t>29044.0</t>
  </si>
  <si>
    <t>393.0</t>
  </si>
  <si>
    <t>1047.0</t>
  </si>
  <si>
    <t>19322.0</t>
  </si>
  <si>
    <t>2357.0</t>
  </si>
  <si>
    <t>2604.0</t>
  </si>
  <si>
    <t>742.0</t>
  </si>
  <si>
    <t>27495.0</t>
  </si>
  <si>
    <t>552.0</t>
  </si>
  <si>
    <t>798.0</t>
  </si>
  <si>
    <t>1175.0</t>
  </si>
  <si>
    <t>19374.0</t>
  </si>
  <si>
    <t>2151.0</t>
  </si>
  <si>
    <t>2787.0</t>
  </si>
  <si>
    <t>27353.0</t>
  </si>
  <si>
    <t>18184.0</t>
  </si>
  <si>
    <t>2729.0</t>
  </si>
  <si>
    <t>2850.0</t>
  </si>
  <si>
    <t>952.0</t>
  </si>
  <si>
    <t>25815.0</t>
  </si>
  <si>
    <t>1203.0</t>
  </si>
  <si>
    <t>17877.0</t>
  </si>
  <si>
    <t>2291.0</t>
  </si>
  <si>
    <t>2918.0</t>
  </si>
  <si>
    <t>25645.0</t>
  </si>
  <si>
    <t>363.0</t>
  </si>
  <si>
    <t>1159.0</t>
  </si>
  <si>
    <t>15386.0</t>
  </si>
  <si>
    <t>2429.0</t>
  </si>
  <si>
    <t>2317.0</t>
  </si>
  <si>
    <t>887.0</t>
  </si>
  <si>
    <t>23427.0</t>
  </si>
  <si>
    <t>1270.0</t>
  </si>
  <si>
    <t>12071.0</t>
  </si>
  <si>
    <t>2609.0</t>
  </si>
  <si>
    <t>1732.0</t>
  </si>
  <si>
    <t>20386.0</t>
  </si>
  <si>
    <t>325.0</t>
  </si>
  <si>
    <t>737.0</t>
  </si>
  <si>
    <t>18809.0</t>
  </si>
  <si>
    <t>2908.0</t>
  </si>
  <si>
    <t>26729.0</t>
  </si>
  <si>
    <t>647.0</t>
  </si>
  <si>
    <t>1474.0</t>
  </si>
  <si>
    <t>13568.0</t>
  </si>
  <si>
    <t>2548.0</t>
  </si>
  <si>
    <t>968.0</t>
  </si>
  <si>
    <t>21793.0</t>
  </si>
  <si>
    <t>456.0</t>
  </si>
  <si>
    <t>1177.0</t>
  </si>
  <si>
    <t>13343.0</t>
  </si>
  <si>
    <t>2706.0</t>
  </si>
  <si>
    <t>1985.0</t>
  </si>
  <si>
    <t>211.0</t>
  </si>
  <si>
    <t>21547.0</t>
  </si>
  <si>
    <t>355.0</t>
  </si>
  <si>
    <t>412.0</t>
  </si>
  <si>
    <t>1084.0</t>
  </si>
  <si>
    <t>14445.0</t>
  </si>
  <si>
    <t>2732.0</t>
  </si>
  <si>
    <t>2147.0</t>
  </si>
  <si>
    <t>21820.0</t>
  </si>
  <si>
    <t>623.0</t>
  </si>
  <si>
    <t>16527.0</t>
  </si>
  <si>
    <t>2740.0</t>
  </si>
  <si>
    <t>2575.0</t>
  </si>
  <si>
    <t>23785.0</t>
  </si>
  <si>
    <t>639.0</t>
  </si>
  <si>
    <t>1020.0</t>
  </si>
  <si>
    <t>15019.0</t>
  </si>
  <si>
    <t>2320.0</t>
  </si>
  <si>
    <t>23375.0</t>
  </si>
  <si>
    <t>761.0</t>
  </si>
  <si>
    <t>14864.0</t>
  </si>
  <si>
    <t>2726.0</t>
  </si>
  <si>
    <t>2237.0</t>
  </si>
  <si>
    <t>22464.0</t>
  </si>
  <si>
    <t>443.0</t>
  </si>
  <si>
    <t>1445.0</t>
  </si>
  <si>
    <t>13659.0</t>
  </si>
  <si>
    <t>1922.0</t>
  </si>
  <si>
    <t>430.0</t>
  </si>
  <si>
    <t>568.0</t>
  </si>
  <si>
    <t>615.0</t>
  </si>
  <si>
    <t>1458.0</t>
  </si>
  <si>
    <t>3021.0</t>
  </si>
  <si>
    <t>1891.0</t>
  </si>
  <si>
    <t>21624.0</t>
  </si>
  <si>
    <t>345.0</t>
  </si>
  <si>
    <t>408.0</t>
  </si>
  <si>
    <t>14451.0</t>
  </si>
  <si>
    <t>2484.0</t>
  </si>
  <si>
    <t>2290.0</t>
  </si>
  <si>
    <t>22037.0</t>
  </si>
  <si>
    <t>869.0</t>
  </si>
  <si>
    <t>1040.0</t>
  </si>
  <si>
    <t>13370.0</t>
  </si>
  <si>
    <t>2695.0</t>
  </si>
  <si>
    <t>21710.0</t>
  </si>
  <si>
    <t>366.0</t>
  </si>
  <si>
    <t>21249.0</t>
  </si>
  <si>
    <t>1859.0</t>
  </si>
  <si>
    <t>2946.0</t>
  </si>
  <si>
    <t>29337.0</t>
  </si>
  <si>
    <t>630.0</t>
  </si>
  <si>
    <t>513.0</t>
  </si>
  <si>
    <t>20488.0</t>
  </si>
  <si>
    <t>2082.0</t>
  </si>
  <si>
    <t>2895.0</t>
  </si>
  <si>
    <t>28396.0</t>
  </si>
  <si>
    <t>594.0</t>
  </si>
  <si>
    <t>20070.0</t>
  </si>
  <si>
    <t>3221.0</t>
  </si>
  <si>
    <t>786.0</t>
  </si>
  <si>
    <t>228.0</t>
  </si>
  <si>
    <t>27542.0</t>
  </si>
  <si>
    <t>645.0</t>
  </si>
  <si>
    <t>1046.0</t>
  </si>
  <si>
    <t>576.0</t>
  </si>
  <si>
    <t>18649.0</t>
  </si>
  <si>
    <t>2554.0</t>
  </si>
  <si>
    <t>2708.0</t>
  </si>
  <si>
    <t>27014.0</t>
  </si>
  <si>
    <t>1101.0</t>
  </si>
  <si>
    <t>15913.0</t>
  </si>
  <si>
    <t>2509.0</t>
  </si>
  <si>
    <t>2385.0</t>
  </si>
  <si>
    <t>956.0</t>
  </si>
  <si>
    <t>23716.0</t>
  </si>
  <si>
    <t>871.0</t>
  </si>
  <si>
    <t>407.0</t>
  </si>
  <si>
    <t>19733.0</t>
  </si>
  <si>
    <t>2370.0</t>
  </si>
  <si>
    <t>2842.0</t>
  </si>
  <si>
    <t>265.0</t>
  </si>
  <si>
    <t>27890.0</t>
  </si>
  <si>
    <t>711.0</t>
  </si>
  <si>
    <t>15031.0</t>
  </si>
  <si>
    <t>2568.0</t>
  </si>
  <si>
    <t>23104.0</t>
  </si>
  <si>
    <t>389.0</t>
  </si>
  <si>
    <t>16342.0</t>
  </si>
  <si>
    <t>2440.0</t>
  </si>
  <si>
    <t>23663.0</t>
  </si>
  <si>
    <t>398.0</t>
  </si>
  <si>
    <t>19664.0</t>
  </si>
  <si>
    <t>2312.0</t>
  </si>
  <si>
    <t>2933.0</t>
  </si>
  <si>
    <t>27362.0</t>
  </si>
  <si>
    <t>1058.0</t>
  </si>
  <si>
    <t>18169.0</t>
  </si>
  <si>
    <t>2416.0</t>
  </si>
  <si>
    <t>2796.0</t>
  </si>
  <si>
    <t>25989.0</t>
  </si>
  <si>
    <t>931.0</t>
  </si>
  <si>
    <t>14530.0</t>
  </si>
  <si>
    <t>2939.0</t>
  </si>
  <si>
    <t>2164.0</t>
  </si>
  <si>
    <t>704.0</t>
  </si>
  <si>
    <t>22363.0</t>
  </si>
  <si>
    <t>391.0</t>
  </si>
  <si>
    <t>17270.0</t>
  </si>
  <si>
    <t>2541.0</t>
  </si>
  <si>
    <t>25291.0</t>
  </si>
  <si>
    <t>13785.0</t>
  </si>
  <si>
    <t>2759.0</t>
  </si>
  <si>
    <t>2185.0</t>
  </si>
  <si>
    <t>21861.0</t>
  </si>
  <si>
    <t>175.0</t>
  </si>
  <si>
    <t>17947.0</t>
  </si>
  <si>
    <t>2742.0</t>
  </si>
  <si>
    <t>2699.0</t>
  </si>
  <si>
    <t>782.0</t>
  </si>
  <si>
    <t>25741.0</t>
  </si>
  <si>
    <t>992.0</t>
  </si>
  <si>
    <t>12262.0</t>
  </si>
  <si>
    <t>2661.0</t>
  </si>
  <si>
    <t>847.0</t>
  </si>
  <si>
    <t>19822.0</t>
  </si>
  <si>
    <t>486.0</t>
  </si>
  <si>
    <t>15118.0</t>
  </si>
  <si>
    <t>22993.0</t>
  </si>
  <si>
    <t>435.0</t>
  </si>
  <si>
    <t>14483.0</t>
  </si>
  <si>
    <t>2722.0</t>
  </si>
  <si>
    <t>2124.0</t>
  </si>
  <si>
    <t>21936.0</t>
  </si>
  <si>
    <t>1277.0</t>
  </si>
  <si>
    <t>12799.0</t>
  </si>
  <si>
    <t>2635.0</t>
  </si>
  <si>
    <t>1841.0</t>
  </si>
  <si>
    <t>20339.0</t>
  </si>
  <si>
    <t>15308.0</t>
  </si>
  <si>
    <t>2507.0</t>
  </si>
  <si>
    <t>2269.0</t>
  </si>
  <si>
    <t>23234.0</t>
  </si>
  <si>
    <t>338.0</t>
  </si>
  <si>
    <t>20125.0</t>
  </si>
  <si>
    <t>2399.0</t>
  </si>
  <si>
    <t>2967.0</t>
  </si>
  <si>
    <t>27658.0</t>
  </si>
  <si>
    <t>314.0</t>
  </si>
  <si>
    <t>2662.0</t>
  </si>
  <si>
    <t>3130.0</t>
  </si>
  <si>
    <t>273.0</t>
  </si>
  <si>
    <t>28150.0</t>
  </si>
  <si>
    <t>484.0</t>
  </si>
  <si>
    <t>838.0</t>
  </si>
  <si>
    <t>21394.0</t>
  </si>
  <si>
    <t>1979.0</t>
  </si>
  <si>
    <t>2835.0</t>
  </si>
  <si>
    <t>28931.0</t>
  </si>
  <si>
    <t>1997.0</t>
  </si>
  <si>
    <t>3534.0</t>
  </si>
  <si>
    <t>801.0</t>
  </si>
  <si>
    <t>30363.0</t>
  </si>
  <si>
    <t>719.0</t>
  </si>
  <si>
    <t>22290.0</t>
  </si>
  <si>
    <t>2565.0</t>
  </si>
  <si>
    <t>3291.0</t>
  </si>
  <si>
    <t>249.0</t>
  </si>
  <si>
    <t>30071.0</t>
  </si>
  <si>
    <t>1112.0</t>
  </si>
  <si>
    <t>20245.0</t>
  </si>
  <si>
    <t>3177.0</t>
  </si>
  <si>
    <t>28119.0</t>
  </si>
  <si>
    <t>502.0</t>
  </si>
  <si>
    <t>17586.0</t>
  </si>
  <si>
    <t>2968.0</t>
  </si>
  <si>
    <t>2744.0</t>
  </si>
  <si>
    <t>25309.0</t>
  </si>
  <si>
    <t>1092.0</t>
  </si>
  <si>
    <t>17152.0</t>
  </si>
  <si>
    <t>2461.0</t>
  </si>
  <si>
    <t>2651.0</t>
  </si>
  <si>
    <t>24801.0</t>
  </si>
  <si>
    <t>699.0</t>
  </si>
  <si>
    <t>13542.0</t>
  </si>
  <si>
    <t>21533.0</t>
  </si>
  <si>
    <t>433.0</t>
  </si>
  <si>
    <t>13671.0</t>
  </si>
  <si>
    <t>2792.0</t>
  </si>
  <si>
    <t>1916.0</t>
  </si>
  <si>
    <t>21051.0</t>
  </si>
  <si>
    <t>310.0</t>
  </si>
  <si>
    <t>18245.0</t>
  </si>
  <si>
    <t>2336.0</t>
  </si>
  <si>
    <t>2784.0</t>
  </si>
  <si>
    <t>947.0</t>
  </si>
  <si>
    <t>25881.0</t>
  </si>
  <si>
    <t>405.0</t>
  </si>
  <si>
    <t>635.0</t>
  </si>
  <si>
    <t>16131.0</t>
  </si>
  <si>
    <t>2579.0</t>
  </si>
  <si>
    <t>2495.0</t>
  </si>
  <si>
    <t>23728.0</t>
  </si>
  <si>
    <t>399.0</t>
  </si>
  <si>
    <t>577.0</t>
  </si>
  <si>
    <t>11825.0</t>
  </si>
  <si>
    <t>2653.0</t>
  </si>
  <si>
    <t>1798.0</t>
  </si>
  <si>
    <t>19042.0</t>
  </si>
  <si>
    <t>1074.0</t>
  </si>
  <si>
    <t>625.0</t>
  </si>
  <si>
    <t>15127.0</t>
  </si>
  <si>
    <t>2622.0</t>
  </si>
  <si>
    <t>22666.0</t>
  </si>
  <si>
    <t>1233.0</t>
  </si>
  <si>
    <t>12558.0</t>
  </si>
  <si>
    <t>3176.0</t>
  </si>
  <si>
    <t>1888.0</t>
  </si>
  <si>
    <t>19776.0</t>
  </si>
  <si>
    <t>14558.0</t>
  </si>
  <si>
    <t>2170.0</t>
  </si>
  <si>
    <t>718.0</t>
  </si>
  <si>
    <t>22087.0</t>
  </si>
  <si>
    <t>415.0</t>
  </si>
  <si>
    <t>1016.0</t>
  </si>
  <si>
    <t>494.0</t>
  </si>
  <si>
    <t>14049.0</t>
  </si>
  <si>
    <t>2600.0</t>
  </si>
  <si>
    <t>2200.0</t>
  </si>
  <si>
    <t>15596.0</t>
  </si>
  <si>
    <t>2650.0</t>
  </si>
  <si>
    <t>2487.0</t>
  </si>
  <si>
    <t>22779.0</t>
  </si>
  <si>
    <t>543.0</t>
  </si>
  <si>
    <t>1170.0</t>
  </si>
  <si>
    <t>12359.0</t>
  </si>
  <si>
    <t>2592.0</t>
  </si>
  <si>
    <t>19639.0</t>
  </si>
  <si>
    <t>351.0</t>
  </si>
  <si>
    <t>15736.0</t>
  </si>
  <si>
    <t>2856.0</t>
  </si>
  <si>
    <t>2448.0</t>
  </si>
  <si>
    <t>23067.0</t>
  </si>
  <si>
    <t>665.0</t>
  </si>
  <si>
    <t>346.0</t>
  </si>
  <si>
    <t>308.0</t>
  </si>
  <si>
    <t>28241.0</t>
  </si>
  <si>
    <t>1775.0</t>
  </si>
  <si>
    <t>4546.0</t>
  </si>
  <si>
    <t>691.0</t>
  </si>
  <si>
    <t>35130.0</t>
  </si>
  <si>
    <t>406.0</t>
  </si>
  <si>
    <t>20064.0</t>
  </si>
  <si>
    <t>2308.0</t>
  </si>
  <si>
    <t>2878.0</t>
  </si>
  <si>
    <t>21660.0</t>
  </si>
  <si>
    <t>2447.0</t>
  </si>
  <si>
    <t>29412.0</t>
  </si>
  <si>
    <t>21264.0</t>
  </si>
  <si>
    <t>2140.0</t>
  </si>
  <si>
    <t>3019.0</t>
  </si>
  <si>
    <t>28728.0</t>
  </si>
  <si>
    <t>362.0</t>
  </si>
  <si>
    <t>22962.0</t>
  </si>
  <si>
    <t>3313.0</t>
  </si>
  <si>
    <t>30324.0</t>
  </si>
  <si>
    <t>447.0</t>
  </si>
  <si>
    <t>23524.0</t>
  </si>
  <si>
    <t>3089.0</t>
  </si>
  <si>
    <t>30635.0</t>
  </si>
  <si>
    <t>378.0</t>
  </si>
  <si>
    <t>1184.0</t>
  </si>
  <si>
    <t>13572.0</t>
  </si>
  <si>
    <t>3028.0</t>
  </si>
  <si>
    <t>2245.0</t>
  </si>
  <si>
    <t>707.0</t>
  </si>
  <si>
    <t>20732.0</t>
  </si>
  <si>
    <t>344.0</t>
  </si>
  <si>
    <t>1229.0</t>
  </si>
  <si>
    <t>14749.0</t>
  </si>
  <si>
    <t>2212.0</t>
  </si>
  <si>
    <t>22298.0</t>
  </si>
  <si>
    <t>381.0</t>
  </si>
  <si>
    <t>920.0</t>
  </si>
  <si>
    <t>15200.0</t>
  </si>
  <si>
    <t>2667.0</t>
  </si>
  <si>
    <t>22770.0</t>
  </si>
  <si>
    <t>358.0</t>
  </si>
  <si>
    <t>1125.0</t>
  </si>
  <si>
    <t>14028.0</t>
  </si>
  <si>
    <t>2610.0</t>
  </si>
  <si>
    <t>2018.0</t>
  </si>
  <si>
    <t>21506.0</t>
  </si>
  <si>
    <t>508.0</t>
  </si>
  <si>
    <t>2257.0</t>
  </si>
  <si>
    <t>23634.0</t>
  </si>
  <si>
    <t>517.0</t>
  </si>
  <si>
    <t>14372.0</t>
  </si>
  <si>
    <t>2091.0</t>
  </si>
  <si>
    <t>22434.0</t>
  </si>
  <si>
    <t>953.0</t>
  </si>
  <si>
    <t>15654.0</t>
  </si>
  <si>
    <t>2410.0</t>
  </si>
  <si>
    <t>2241.0</t>
  </si>
  <si>
    <t>23127.0</t>
  </si>
  <si>
    <t>1007.0</t>
  </si>
  <si>
    <t>14369.0</t>
  </si>
  <si>
    <t>2567.0</t>
  </si>
  <si>
    <t>2177.0</t>
  </si>
  <si>
    <t>21928.0</t>
  </si>
  <si>
    <t>384.0</t>
  </si>
  <si>
    <t>599.0</t>
  </si>
  <si>
    <t>1085.0</t>
  </si>
  <si>
    <t>14675.0</t>
  </si>
  <si>
    <t>2774.0</t>
  </si>
  <si>
    <t>2204.0</t>
  </si>
  <si>
    <t>21668.0</t>
  </si>
  <si>
    <t>296.0</t>
  </si>
  <si>
    <t>1070.0</t>
  </si>
  <si>
    <t>14960.0</t>
  </si>
  <si>
    <t>2267.0</t>
  </si>
  <si>
    <t>22619.0</t>
  </si>
  <si>
    <t>416.0</t>
  </si>
  <si>
    <t>15721.0</t>
  </si>
  <si>
    <t>2580.0</t>
  </si>
  <si>
    <t>22775.0</t>
  </si>
  <si>
    <t>450.0</t>
  </si>
  <si>
    <t>462.0</t>
  </si>
  <si>
    <t>658.0</t>
  </si>
  <si>
    <t>17174.0</t>
  </si>
  <si>
    <t>2589.0</t>
  </si>
  <si>
    <t>24639.0</t>
  </si>
  <si>
    <t>678.0</t>
  </si>
  <si>
    <t>12892.0</t>
  </si>
  <si>
    <t>2528.0</t>
  </si>
  <si>
    <t>20368.0</t>
  </si>
  <si>
    <t>993.0</t>
  </si>
  <si>
    <t>13218.0</t>
  </si>
  <si>
    <t>20552.0</t>
  </si>
  <si>
    <t>Row Labels</t>
  </si>
  <si>
    <t>Grand Total</t>
  </si>
  <si>
    <t>Average of goals</t>
  </si>
  <si>
    <t>Average of ontarget_scoring_att</t>
  </si>
  <si>
    <t>Average of Goal Precentage</t>
  </si>
  <si>
    <t>Average of att_hd_goal</t>
  </si>
  <si>
    <t>Average of att_pen_goal</t>
  </si>
  <si>
    <t>Average of att_freekick_goal</t>
  </si>
  <si>
    <t>Average of goal_fastbreak</t>
  </si>
  <si>
    <t>Average of att_ibox_goal</t>
  </si>
  <si>
    <t>Average of att_obox_goal</t>
  </si>
  <si>
    <t>Goal Area Ibox</t>
  </si>
  <si>
    <t>Remaining</t>
  </si>
  <si>
    <t>Total Goal</t>
  </si>
  <si>
    <t>% Goal</t>
  </si>
  <si>
    <t>Goal Area Obox</t>
  </si>
  <si>
    <t>Average of corner_taken</t>
  </si>
  <si>
    <t>Average of total_offside</t>
  </si>
  <si>
    <t>Average of hit_woodwork</t>
  </si>
  <si>
    <t>Average of pen_goals_conceded</t>
  </si>
  <si>
    <t>2016 - 2017</t>
  </si>
  <si>
    <t>2017 - 2018</t>
  </si>
  <si>
    <t>2015 - 2016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</si>
</sst>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9" fontId="1" fillId="0" borderId="0" applyFont="0" applyFill="0" applyBorder="0" applyAlignment="0" applyProtection="0"/>
  </cellStyleXfs>
  <cellXfs count="8">
    <xf numFmtId="0" fontId="0" fillId="0" borderId="0" xfId="0"/>
    <xf numFmtId="0" fontId="0" fillId="0" borderId="0" xfId="0" applyNumberFormat="1"/>
    <xf numFmtId="0" fontId="0" fillId="0" borderId="0" xfId="0" pivotButton="1"/>
    <xf numFmtId="0" fontId="0" fillId="0" borderId="0" xfId="0" applyAlignment="1">
      <alignment horizontal="left"/>
    </xf>
    <xf numFmtId="164" fontId="0" fillId="0" borderId="0" xfId="0" applyNumberFormat="1"/>
    <xf numFmtId="9" fontId="0" fillId="0" borderId="0" xfId="0" applyNumberFormat="1"/>
    <xf numFmtId="9" fontId="0" fillId="0" borderId="0" xfId="42" applyFont="1"/>
    <xf numFmtId="0" fontId="0" fillId="0" borderId="0" xfId="42" applyNumberFormat="1" applyFont="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3">
    <dxf>
      <numFmt numFmtId="13" formatCode="0%"/>
    </dxf>
    <dxf>
      <font>
        <color theme="0"/>
      </font>
      <fill>
        <patternFill>
          <bgColor theme="1"/>
        </patternFill>
      </fill>
    </dxf>
    <dxf>
      <fill>
        <patternFill>
          <bgColor theme="1"/>
        </patternFill>
      </fill>
    </dxf>
  </dxfs>
  <tableStyles count="1" defaultTableStyle="TableStyleMedium2" defaultPivotStyle="PivotStyleLight16">
    <tableStyle name="Custom" pivot="0" table="0" count="10" xr9:uid="{D04D174D-FDA4-4E16-A80D-63B85866A08F}">
      <tableStyleElement type="wholeTable" dxfId="2"/>
      <tableStyleElement type="headerRow" dxfId="1"/>
    </tableStyle>
  </tableStyles>
  <extLst>
    <ext xmlns:x14="http://schemas.microsoft.com/office/spreadsheetml/2009/9/main" uri="{46F421CA-312F-682f-3DD2-61675219B42D}">
      <x14:dxfs count="8">
        <dxf>
          <fill>
            <patternFill>
              <bgColor theme="7" tint="0.79998168889431442"/>
            </patternFill>
          </fill>
        </dxf>
        <dxf>
          <fill>
            <patternFill>
              <bgColor theme="0"/>
            </patternFill>
          </fill>
        </dxf>
        <dxf>
          <fill>
            <patternFill>
              <bgColor theme="7" tint="0.79998168889431442"/>
            </patternFill>
          </fill>
        </dxf>
        <dxf>
          <fill>
            <patternFill>
              <bgColor theme="7" tint="0.79998168889431442"/>
            </patternFill>
          </fill>
        </dxf>
        <dxf>
          <fill>
            <patternFill>
              <bgColor theme="2"/>
            </patternFill>
          </fill>
        </dxf>
        <dxf>
          <fill>
            <patternFill>
              <bgColor theme="2" tint="-9.9948118533890809E-2"/>
            </patternFill>
          </fill>
        </dxf>
        <dxf>
          <fill>
            <patternFill>
              <bgColor theme="0" tint="-0.34998626667073579"/>
            </patternFill>
          </fill>
        </dxf>
        <dxf>
          <fill>
            <patternFill>
              <bgColor theme="2" tint="-0.499984740745262"/>
            </patternFill>
          </fill>
        </dxf>
      </x14:dxfs>
    </ext>
    <ext xmlns:x14="http://schemas.microsoft.com/office/spreadsheetml/2009/9/main" uri="{EB79DEF2-80B8-43e5-95BD-54CBDDF9020C}">
      <x14:slicerStyles defaultSlicerStyle="SlicerStyleLight1">
        <x14:slicerStyle name="Custom">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[analyzegoal_premierleague.xlsm]goal_precentage!PivotTable1</c:name>
    <c:fmtId val="27"/>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tx2">
              <a:lumMod val="40000"/>
              <a:lumOff val="60000"/>
            </a:schemeClr>
          </a:solidFill>
          <a:ln w="9525" cap="flat" cmpd="sng" algn="ctr">
            <a:solidFill>
              <a:schemeClr val="bg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2">
              <a:lumMod val="40000"/>
              <a:lumOff val="60000"/>
            </a:schemeClr>
          </a:solidFill>
          <a:ln w="9525" cap="flat" cmpd="sng" algn="ctr">
            <a:solidFill>
              <a:schemeClr val="bg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15875" cap="rnd" cmpd="sng" algn="ctr">
            <a:solidFill>
              <a:schemeClr val="accent4"/>
            </a:solidFill>
            <a:round/>
          </a:ln>
          <a:effectLst>
            <a:outerShdw blurRad="50800" dist="38100" dir="5400000" algn="t" rotWithShape="0">
              <a:schemeClr val="accent4">
                <a:alpha val="40000"/>
              </a:schemeClr>
            </a:outerShdw>
          </a:effectLst>
        </c:spPr>
        <c:marker>
          <c:symbol val="circle"/>
          <c:size val="5"/>
          <c:spPr>
            <a:solidFill>
              <a:srgbClr val="FF0000"/>
            </a:solidFill>
            <a:ln w="9525" cap="flat" cmpd="sng" algn="ctr">
              <a:noFill/>
              <a:round/>
            </a:ln>
            <a:effectLst>
              <a:outerShdw blurRad="50800" dist="38100" dir="5400000" algn="t" rotWithShape="0">
                <a:schemeClr val="accent4">
                  <a:alpha val="40000"/>
                </a:scheme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15875" cap="rnd" cmpd="sng" algn="ctr">
            <a:solidFill>
              <a:schemeClr val="accent4"/>
            </a:solidFill>
            <a:round/>
          </a:ln>
          <a:effectLst>
            <a:outerShdw blurRad="50800" dist="38100" dir="5400000" algn="t" rotWithShape="0">
              <a:schemeClr val="tx1">
                <a:alpha val="40000"/>
              </a:schemeClr>
            </a:outerShdw>
          </a:effectLst>
        </c:spPr>
        <c:marker>
          <c:symbol val="circle"/>
          <c:size val="5"/>
          <c:spPr>
            <a:solidFill>
              <a:srgbClr val="FF0000"/>
            </a:solidFill>
            <a:ln w="9525" cap="flat" cmpd="sng" algn="ctr">
              <a:noFill/>
              <a:round/>
            </a:ln>
            <a:effectLst>
              <a:outerShdw blurRad="50800" dist="38100" dir="5400000" algn="t" rotWithShape="0">
                <a:schemeClr val="tx1">
                  <a:alpha val="40000"/>
                </a:schemeClr>
              </a:outerShdw>
            </a:effectLst>
          </c:spPr>
        </c:marker>
      </c:pivotFmt>
      <c:pivotFmt>
        <c:idx val="10"/>
        <c:spPr>
          <a:solidFill>
            <a:schemeClr val="tx2">
              <a:lumMod val="40000"/>
              <a:lumOff val="60000"/>
            </a:schemeClr>
          </a:solidFill>
          <a:ln w="9525" cap="flat" cmpd="sng" algn="ctr">
            <a:solidFill>
              <a:schemeClr val="bg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2">
              <a:lumMod val="40000"/>
              <a:lumOff val="60000"/>
            </a:schemeClr>
          </a:solidFill>
          <a:ln w="9525" cap="flat" cmpd="sng" algn="ctr">
            <a:solidFill>
              <a:schemeClr val="bg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15875" cap="rnd" cmpd="sng" algn="ctr">
            <a:solidFill>
              <a:schemeClr val="accent4"/>
            </a:solidFill>
            <a:round/>
          </a:ln>
          <a:effectLst>
            <a:outerShdw blurRad="50800" dist="38100" dir="5400000" algn="t" rotWithShape="0">
              <a:schemeClr val="accent4">
                <a:alpha val="40000"/>
              </a:schemeClr>
            </a:outerShdw>
          </a:effectLst>
        </c:spPr>
        <c:marker>
          <c:symbol val="circle"/>
          <c:size val="5"/>
          <c:spPr>
            <a:solidFill>
              <a:srgbClr val="FF0000"/>
            </a:solidFill>
            <a:ln w="9525" cap="flat" cmpd="sng" algn="ctr">
              <a:noFill/>
              <a:round/>
            </a:ln>
            <a:effectLst>
              <a:outerShdw blurRad="50800" dist="38100" dir="5400000" algn="t" rotWithShape="0">
                <a:schemeClr val="accent4">
                  <a:alpha val="40000"/>
                </a:scheme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15875" cap="rnd" cmpd="sng" algn="ctr">
            <a:solidFill>
              <a:schemeClr val="accent4"/>
            </a:solidFill>
            <a:round/>
          </a:ln>
          <a:effectLst>
            <a:outerShdw blurRad="50800" dist="38100" dir="5400000" algn="t" rotWithShape="0">
              <a:schemeClr val="tx1">
                <a:alpha val="40000"/>
              </a:schemeClr>
            </a:outerShdw>
          </a:effectLst>
        </c:spPr>
        <c:marker>
          <c:symbol val="circle"/>
          <c:size val="5"/>
          <c:spPr>
            <a:solidFill>
              <a:srgbClr val="FF0000"/>
            </a:solidFill>
            <a:ln w="9525" cap="flat" cmpd="sng" algn="ctr">
              <a:noFill/>
              <a:round/>
            </a:ln>
            <a:effectLst>
              <a:outerShdw blurRad="50800" dist="38100" dir="5400000" algn="t" rotWithShape="0">
                <a:schemeClr val="tx1">
                  <a:alpha val="40000"/>
                </a:schemeClr>
              </a:outerShdw>
            </a:effectLst>
          </c:spPr>
        </c:marker>
      </c:pivotFmt>
      <c:pivotFmt>
        <c:idx val="14"/>
        <c:spPr>
          <a:solidFill>
            <a:schemeClr val="tx2">
              <a:lumMod val="40000"/>
              <a:lumOff val="60000"/>
            </a:schemeClr>
          </a:solidFill>
          <a:ln w="9525" cap="flat" cmpd="sng" algn="ctr">
            <a:solidFill>
              <a:schemeClr val="bg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2">
              <a:lumMod val="40000"/>
              <a:lumOff val="60000"/>
            </a:schemeClr>
          </a:solidFill>
          <a:ln w="9525" cap="flat" cmpd="sng" algn="ctr">
            <a:solidFill>
              <a:schemeClr val="bg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ln w="15875" cap="rnd">
            <a:solidFill>
              <a:schemeClr val="accent4"/>
            </a:solidFill>
            <a:round/>
          </a:ln>
          <a:effectLst>
            <a:outerShdw blurRad="50800" dist="38100" dir="5400000" algn="t" rotWithShape="0">
              <a:schemeClr val="accent4">
                <a:alpha val="40000"/>
              </a:schemeClr>
            </a:outerShdw>
          </a:effectLst>
        </c:spPr>
        <c:marker>
          <c:symbol val="circle"/>
          <c:size val="5"/>
          <c:spPr>
            <a:solidFill>
              <a:srgbClr val="FF0000"/>
            </a:solidFill>
            <a:ln w="9525" cap="flat" cmpd="sng" algn="ctr">
              <a:noFill/>
              <a:round/>
            </a:ln>
            <a:effectLst>
              <a:outerShdw blurRad="50800" dist="38100" dir="5400000" algn="t" rotWithShape="0">
                <a:schemeClr val="accent4">
                  <a:alpha val="40000"/>
                </a:scheme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ln w="15875" cap="rnd">
            <a:solidFill>
              <a:schemeClr val="accent4"/>
            </a:solidFill>
            <a:round/>
          </a:ln>
          <a:effectLst>
            <a:outerShdw blurRad="50800" dist="38100" dir="5400000" algn="t" rotWithShape="0">
              <a:schemeClr val="tx1">
                <a:alpha val="40000"/>
              </a:schemeClr>
            </a:outerShdw>
          </a:effectLst>
        </c:spPr>
        <c:marker>
          <c:symbol val="circle"/>
          <c:size val="5"/>
          <c:spPr>
            <a:solidFill>
              <a:srgbClr val="FF0000"/>
            </a:solidFill>
            <a:ln w="9525" cap="flat" cmpd="sng" algn="ctr">
              <a:noFill/>
              <a:round/>
            </a:ln>
            <a:effectLst>
              <a:outerShdw blurRad="50800" dist="38100" dir="5400000" algn="t" rotWithShape="0">
                <a:schemeClr val="tx1">
                  <a:alpha val="40000"/>
                </a:schemeClr>
              </a:outerShdw>
            </a:effectLst>
          </c:spPr>
        </c:marker>
      </c:pivotFmt>
    </c:pivotFmts>
    <c:plotArea>
      <c:layout/>
      <c:barChart>
        <c:barDir val="col"/>
        <c:grouping val="clustered"/>
        <c:varyColors val="0"/>
        <c:ser>
          <c:idx val="0"/>
          <c:order val="0"/>
          <c:tx>
            <c:strRef>
              <c:f>goal_precentage!$B$1</c:f>
              <c:strCache>
                <c:ptCount val="1"/>
                <c:pt idx="0">
                  <c:v>Average of goals</c:v>
                </c:pt>
              </c:strCache>
            </c:strRef>
          </c:tx>
          <c:spPr>
            <a:solidFill>
              <a:schemeClr val="tx2">
                <a:lumMod val="40000"/>
                <a:lumOff val="60000"/>
              </a:schemeClr>
            </a:solidFill>
            <a:ln w="9525" cap="flat" cmpd="sng" algn="ctr">
              <a:solidFill>
                <a:schemeClr val="bg1"/>
              </a:solidFill>
              <a:round/>
            </a:ln>
            <a:effectLst/>
          </c:spPr>
          <c:invertIfNegative val="0"/>
          <c:cat>
            <c:strRef>
              <c:f>goal_precentage!$A$2:$A$5</c:f>
              <c:strCache>
                <c:ptCount val="3"/>
                <c:pt idx="0">
                  <c:v>2015-2016</c:v>
                </c:pt>
                <c:pt idx="1">
                  <c:v>2016-2017</c:v>
                </c:pt>
                <c:pt idx="2">
                  <c:v>2017-2018</c:v>
                </c:pt>
              </c:strCache>
            </c:strRef>
          </c:cat>
          <c:val>
            <c:numRef>
              <c:f>goal_precentage!$B$2:$B$5</c:f>
              <c:numCache>
                <c:formatCode>General</c:formatCode>
                <c:ptCount val="3"/>
                <c:pt idx="0">
                  <c:v>51.3</c:v>
                </c:pt>
                <c:pt idx="1">
                  <c:v>53.2</c:v>
                </c:pt>
                <c:pt idx="2">
                  <c:v>50.9</c:v>
                </c:pt>
              </c:numCache>
            </c:numRef>
          </c:val>
          <c:extLst>
            <c:ext xmlns:c16="http://schemas.microsoft.com/office/drawing/2014/chart" uri="{C3380CC4-5D6E-409C-BE32-E72D297353CC}">
              <c16:uniqueId val="{00000000-60B8-4219-A4EE-5CAD2AD526B5}"/>
            </c:ext>
          </c:extLst>
        </c:ser>
        <c:ser>
          <c:idx val="1"/>
          <c:order val="1"/>
          <c:tx>
            <c:strRef>
              <c:f>goal_precentage!$C$1</c:f>
              <c:strCache>
                <c:ptCount val="1"/>
                <c:pt idx="0">
                  <c:v>Average of ontarget_scoring_att</c:v>
                </c:pt>
              </c:strCache>
            </c:strRef>
          </c:tx>
          <c:spPr>
            <a:solidFill>
              <a:schemeClr val="accent2">
                <a:lumMod val="40000"/>
                <a:lumOff val="60000"/>
              </a:schemeClr>
            </a:solidFill>
            <a:ln w="9525" cap="flat" cmpd="sng" algn="ctr">
              <a:solidFill>
                <a:schemeClr val="bg1"/>
              </a:solidFill>
              <a:round/>
            </a:ln>
            <a:effectLst/>
          </c:spPr>
          <c:invertIfNegative val="0"/>
          <c:cat>
            <c:strRef>
              <c:f>goal_precentage!$A$2:$A$5</c:f>
              <c:strCache>
                <c:ptCount val="3"/>
                <c:pt idx="0">
                  <c:v>2015-2016</c:v>
                </c:pt>
                <c:pt idx="1">
                  <c:v>2016-2017</c:v>
                </c:pt>
                <c:pt idx="2">
                  <c:v>2017-2018</c:v>
                </c:pt>
              </c:strCache>
            </c:strRef>
          </c:cat>
          <c:val>
            <c:numRef>
              <c:f>goal_precentage!$C$2:$C$5</c:f>
              <c:numCache>
                <c:formatCode>General</c:formatCode>
                <c:ptCount val="3"/>
                <c:pt idx="0">
                  <c:v>161.75</c:v>
                </c:pt>
                <c:pt idx="1">
                  <c:v>164.4</c:v>
                </c:pt>
                <c:pt idx="2">
                  <c:v>159.44999999999999</c:v>
                </c:pt>
              </c:numCache>
            </c:numRef>
          </c:val>
          <c:extLst>
            <c:ext xmlns:c16="http://schemas.microsoft.com/office/drawing/2014/chart" uri="{C3380CC4-5D6E-409C-BE32-E72D297353CC}">
              <c16:uniqueId val="{00000001-60B8-4219-A4EE-5CAD2AD526B5}"/>
            </c:ext>
          </c:extLst>
        </c:ser>
        <c:dLbls>
          <c:showLegendKey val="0"/>
          <c:showVal val="0"/>
          <c:showCatName val="0"/>
          <c:showSerName val="0"/>
          <c:showPercent val="0"/>
          <c:showBubbleSize val="0"/>
        </c:dLbls>
        <c:gapWidth val="219"/>
        <c:axId val="475437247"/>
        <c:axId val="475442239"/>
      </c:barChart>
      <c:lineChart>
        <c:grouping val="standard"/>
        <c:varyColors val="0"/>
        <c:ser>
          <c:idx val="2"/>
          <c:order val="2"/>
          <c:tx>
            <c:strRef>
              <c:f>goal_precentage!$D$1</c:f>
              <c:strCache>
                <c:ptCount val="1"/>
                <c:pt idx="0">
                  <c:v>Average of Goal Precentage</c:v>
                </c:pt>
              </c:strCache>
            </c:strRef>
          </c:tx>
          <c:spPr>
            <a:ln w="15875" cap="rnd">
              <a:solidFill>
                <a:schemeClr val="accent4"/>
              </a:solidFill>
              <a:round/>
            </a:ln>
            <a:effectLst>
              <a:outerShdw blurRad="50800" dist="38100" dir="5400000" algn="t" rotWithShape="0">
                <a:schemeClr val="accent4">
                  <a:alpha val="40000"/>
                </a:schemeClr>
              </a:outerShdw>
            </a:effectLst>
          </c:spPr>
          <c:marker>
            <c:symbol val="circle"/>
            <c:size val="5"/>
            <c:spPr>
              <a:solidFill>
                <a:srgbClr val="FF0000"/>
              </a:solidFill>
              <a:ln w="9525" cap="flat" cmpd="sng" algn="ctr">
                <a:noFill/>
                <a:round/>
              </a:ln>
              <a:effectLst>
                <a:outerShdw blurRad="50800" dist="38100" dir="5400000" algn="t" rotWithShape="0">
                  <a:schemeClr val="accent4">
                    <a:alpha val="40000"/>
                  </a:schemeClr>
                </a:outerShdw>
              </a:effectLst>
            </c:spPr>
          </c:marker>
          <c:dPt>
            <c:idx val="2"/>
            <c:marker>
              <c:symbol val="circle"/>
              <c:size val="5"/>
              <c:spPr>
                <a:solidFill>
                  <a:srgbClr val="FF0000"/>
                </a:solidFill>
                <a:ln w="9525" cap="flat" cmpd="sng" algn="ctr">
                  <a:noFill/>
                  <a:round/>
                </a:ln>
                <a:effectLst>
                  <a:outerShdw blurRad="50800" dist="38100" dir="5400000" algn="t" rotWithShape="0">
                    <a:schemeClr val="tx1">
                      <a:alpha val="40000"/>
                    </a:schemeClr>
                  </a:outerShdw>
                </a:effectLst>
              </c:spPr>
            </c:marker>
            <c:bubble3D val="0"/>
            <c:spPr>
              <a:ln w="15875" cap="rnd">
                <a:solidFill>
                  <a:schemeClr val="accent4"/>
                </a:solidFill>
                <a:round/>
              </a:ln>
              <a:effectLst>
                <a:outerShdw blurRad="50800" dist="38100" dir="5400000" algn="t" rotWithShape="0">
                  <a:schemeClr val="tx1">
                    <a:alpha val="40000"/>
                  </a:schemeClr>
                </a:outerShdw>
              </a:effectLst>
            </c:spPr>
            <c:extLst>
              <c:ext xmlns:c16="http://schemas.microsoft.com/office/drawing/2014/chart" uri="{C3380CC4-5D6E-409C-BE32-E72D297353CC}">
                <c16:uniqueId val="{00000003-60B8-4219-A4EE-5CAD2AD526B5}"/>
              </c:ext>
            </c:extLst>
          </c:dPt>
          <c:cat>
            <c:strRef>
              <c:f>goal_precentage!$A$2:$A$5</c:f>
              <c:strCache>
                <c:ptCount val="3"/>
                <c:pt idx="0">
                  <c:v>2015-2016</c:v>
                </c:pt>
                <c:pt idx="1">
                  <c:v>2016-2017</c:v>
                </c:pt>
                <c:pt idx="2">
                  <c:v>2017-2018</c:v>
                </c:pt>
              </c:strCache>
            </c:strRef>
          </c:cat>
          <c:val>
            <c:numRef>
              <c:f>goal_precentage!$D$2:$D$5</c:f>
              <c:numCache>
                <c:formatCode>0%</c:formatCode>
                <c:ptCount val="3"/>
                <c:pt idx="0">
                  <c:v>0.31715610510046366</c:v>
                </c:pt>
                <c:pt idx="1">
                  <c:v>0.32360097323600973</c:v>
                </c:pt>
                <c:pt idx="2">
                  <c:v>0.31922232674819695</c:v>
                </c:pt>
              </c:numCache>
            </c:numRef>
          </c:val>
          <c:smooth val="0"/>
          <c:extLst>
            <c:ext xmlns:c16="http://schemas.microsoft.com/office/drawing/2014/chart" uri="{C3380CC4-5D6E-409C-BE32-E72D297353CC}">
              <c16:uniqueId val="{00000004-60B8-4219-A4EE-5CAD2AD526B5}"/>
            </c:ext>
          </c:extLst>
        </c:ser>
        <c:dLbls>
          <c:showLegendKey val="0"/>
          <c:showVal val="0"/>
          <c:showCatName val="0"/>
          <c:showSerName val="0"/>
          <c:showPercent val="0"/>
          <c:showBubbleSize val="0"/>
        </c:dLbls>
        <c:marker val="1"/>
        <c:smooth val="0"/>
        <c:axId val="475445983"/>
        <c:axId val="475432255"/>
      </c:lineChart>
      <c:catAx>
        <c:axId val="4754372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475442239"/>
        <c:crosses val="autoZero"/>
        <c:auto val="1"/>
        <c:lblAlgn val="ctr"/>
        <c:lblOffset val="100"/>
        <c:noMultiLvlLbl val="0"/>
      </c:catAx>
      <c:valAx>
        <c:axId val="47544223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475437247"/>
        <c:crosses val="autoZero"/>
        <c:crossBetween val="between"/>
      </c:valAx>
      <c:valAx>
        <c:axId val="475432255"/>
        <c:scaling>
          <c:orientation val="minMax"/>
        </c:scaling>
        <c:delete val="0"/>
        <c:axPos val="r"/>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475445983"/>
        <c:crosses val="max"/>
        <c:crossBetween val="between"/>
      </c:valAx>
      <c:catAx>
        <c:axId val="475445983"/>
        <c:scaling>
          <c:orientation val="minMax"/>
        </c:scaling>
        <c:delete val="1"/>
        <c:axPos val="b"/>
        <c:numFmt formatCode="General" sourceLinked="1"/>
        <c:majorTickMark val="none"/>
        <c:minorTickMark val="none"/>
        <c:tickLblPos val="nextTo"/>
        <c:crossAx val="475432255"/>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[analyzegoal_premierleague.xlsm]failed_attempt!PivotTable1</c:name>
    <c:fmtId val="15"/>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rgbClr val="0070C0"/>
            </a:solidFill>
            <a:round/>
          </a:ln>
          <a:effectLst>
            <a:outerShdw blurRad="50800" dist="38100" dir="5400000" algn="t" rotWithShape="0">
              <a:schemeClr val="tx1">
                <a:alpha val="40000"/>
              </a:schemeClr>
            </a:outerShdw>
          </a:effectLst>
        </c:spPr>
        <c:marker>
          <c:symbol val="diamond"/>
          <c:size val="5"/>
          <c:spPr>
            <a:solidFill>
              <a:srgbClr val="FF0000"/>
            </a:solidFill>
            <a:ln w="9525">
              <a:noFill/>
            </a:ln>
            <a:effectLst>
              <a:outerShdw blurRad="50800" dist="38100" dir="5400000" algn="t" rotWithShape="0">
                <a:schemeClr val="tx1">
                  <a:alpha val="40000"/>
                </a:scheme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6">
                <a:lumMod val="75000"/>
              </a:schemeClr>
            </a:solidFill>
            <a:round/>
          </a:ln>
          <a:effectLst>
            <a:outerShdw blurRad="50800" dist="38100" dir="5400000" algn="t" rotWithShape="0">
              <a:prstClr val="black">
                <a:alpha val="40000"/>
              </a:prstClr>
            </a:outerShdw>
          </a:effectLst>
        </c:spPr>
        <c:marker>
          <c:symbol val="diamond"/>
          <c:size val="5"/>
          <c:spPr>
            <a:solidFill>
              <a:srgbClr val="FF0000"/>
            </a:solidFill>
            <a:ln w="9525">
              <a:solidFill>
                <a:schemeClr val="accent2"/>
              </a:solidFill>
            </a:ln>
            <a:effectLst>
              <a:outerShdw blurRad="50800" dist="38100" dir="5400000" algn="t" rotWithShape="0">
                <a:prstClr val="black">
                  <a:alpha val="40000"/>
                </a:prst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6">
                <a:lumMod val="75000"/>
              </a:schemeClr>
            </a:solidFill>
            <a:round/>
          </a:ln>
          <a:effectLst>
            <a:outerShdw blurRad="50800" dist="38100" dir="5400000" algn="t" rotWithShape="0">
              <a:schemeClr val="tx1">
                <a:alpha val="40000"/>
              </a:schemeClr>
            </a:outerShdw>
          </a:effectLst>
        </c:spPr>
        <c:marker>
          <c:symbol val="diamond"/>
          <c:size val="5"/>
          <c:spPr>
            <a:solidFill>
              <a:srgbClr val="FF0000"/>
            </a:solidFill>
            <a:ln w="9525">
              <a:solidFill>
                <a:schemeClr val="accent2"/>
              </a:solidFill>
            </a:ln>
            <a:effectLst>
              <a:outerShdw blurRad="50800" dist="38100" dir="5400000" algn="t" rotWithShape="0">
                <a:schemeClr val="tx1">
                  <a:alpha val="40000"/>
                </a:schemeClr>
              </a:outerShdw>
            </a:effectLst>
          </c:spPr>
        </c:marker>
      </c:pivotFmt>
      <c:pivotFmt>
        <c:idx val="7"/>
        <c:spPr>
          <a:solidFill>
            <a:schemeClr val="accent1"/>
          </a:solidFill>
          <a:ln w="28575" cap="rnd">
            <a:solidFill>
              <a:srgbClr val="0070C0"/>
            </a:solidFill>
            <a:round/>
          </a:ln>
          <a:effectLst>
            <a:outerShdw blurRad="50800" dist="38100" dir="5400000" algn="t" rotWithShape="0">
              <a:schemeClr val="tx1">
                <a:alpha val="40000"/>
              </a:schemeClr>
            </a:outerShdw>
          </a:effectLst>
        </c:spPr>
        <c:marker>
          <c:symbol val="diamond"/>
          <c:size val="5"/>
          <c:spPr>
            <a:solidFill>
              <a:srgbClr val="FF0000"/>
            </a:solidFill>
            <a:ln w="9525">
              <a:noFill/>
            </a:ln>
            <a:effectLst>
              <a:outerShdw blurRad="50800" dist="38100" dir="5400000" algn="t" rotWithShape="0">
                <a:schemeClr val="tx1">
                  <a:alpha val="40000"/>
                </a:scheme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6">
                <a:lumMod val="75000"/>
              </a:schemeClr>
            </a:solidFill>
            <a:round/>
          </a:ln>
          <a:effectLst>
            <a:outerShdw blurRad="50800" dist="38100" dir="5400000" algn="t" rotWithShape="0">
              <a:prstClr val="black">
                <a:alpha val="40000"/>
              </a:prstClr>
            </a:outerShdw>
          </a:effectLst>
        </c:spPr>
        <c:marker>
          <c:symbol val="diamond"/>
          <c:size val="5"/>
          <c:spPr>
            <a:solidFill>
              <a:srgbClr val="FF0000"/>
            </a:solidFill>
            <a:ln w="9525">
              <a:solidFill>
                <a:schemeClr val="accent2"/>
              </a:solidFill>
            </a:ln>
            <a:effectLst>
              <a:outerShdw blurRad="50800" dist="38100" dir="5400000" algn="t" rotWithShape="0">
                <a:prstClr val="black">
                  <a:alpha val="40000"/>
                </a:prst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6">
                <a:lumMod val="75000"/>
              </a:schemeClr>
            </a:solidFill>
            <a:round/>
          </a:ln>
          <a:effectLst>
            <a:outerShdw blurRad="50800" dist="38100" dir="5400000" algn="t" rotWithShape="0">
              <a:schemeClr val="tx1">
                <a:alpha val="40000"/>
              </a:schemeClr>
            </a:outerShdw>
          </a:effectLst>
        </c:spPr>
        <c:marker>
          <c:symbol val="diamond"/>
          <c:size val="5"/>
          <c:spPr>
            <a:solidFill>
              <a:srgbClr val="FF0000"/>
            </a:solidFill>
            <a:ln w="9525">
              <a:solidFill>
                <a:schemeClr val="accent2"/>
              </a:solidFill>
            </a:ln>
            <a:effectLst>
              <a:outerShdw blurRad="50800" dist="38100" dir="5400000" algn="t" rotWithShape="0">
                <a:schemeClr val="tx1">
                  <a:alpha val="40000"/>
                </a:schemeClr>
              </a:outerShdw>
            </a:effectLst>
          </c:spPr>
        </c:marker>
      </c:pivotFmt>
      <c:pivotFmt>
        <c:idx val="10"/>
        <c:spPr>
          <a:ln w="28575" cap="rnd">
            <a:solidFill>
              <a:srgbClr val="0070C0"/>
            </a:solidFill>
            <a:round/>
          </a:ln>
          <a:effectLst>
            <a:outerShdw blurRad="50800" dist="38100" dir="5400000" algn="t" rotWithShape="0">
              <a:schemeClr val="tx1">
                <a:alpha val="40000"/>
              </a:schemeClr>
            </a:outerShdw>
          </a:effectLst>
        </c:spPr>
        <c:marker>
          <c:symbol val="diamond"/>
          <c:size val="5"/>
          <c:spPr>
            <a:solidFill>
              <a:srgbClr val="FF0000"/>
            </a:solidFill>
            <a:ln w="9525">
              <a:noFill/>
            </a:ln>
            <a:effectLst>
              <a:outerShdw blurRad="50800" dist="38100" dir="5400000" algn="t" rotWithShape="0">
                <a:schemeClr val="tx1">
                  <a:alpha val="40000"/>
                </a:scheme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chemeClr val="accent6">
                <a:lumMod val="75000"/>
              </a:schemeClr>
            </a:solidFill>
            <a:round/>
          </a:ln>
          <a:effectLst>
            <a:outerShdw blurRad="50800" dist="38100" dir="5400000" algn="t" rotWithShape="0">
              <a:prstClr val="black">
                <a:alpha val="40000"/>
              </a:prstClr>
            </a:outerShdw>
          </a:effectLst>
        </c:spPr>
        <c:marker>
          <c:symbol val="diamond"/>
          <c:size val="5"/>
          <c:spPr>
            <a:solidFill>
              <a:srgbClr val="FF0000"/>
            </a:solidFill>
            <a:ln w="9525">
              <a:solidFill>
                <a:schemeClr val="accent2"/>
              </a:solidFill>
            </a:ln>
            <a:effectLst>
              <a:outerShdw blurRad="50800" dist="38100" dir="5400000" algn="t" rotWithShape="0">
                <a:prstClr val="black">
                  <a:alpha val="40000"/>
                </a:prst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ln w="28575" cap="rnd">
            <a:solidFill>
              <a:schemeClr val="accent6">
                <a:lumMod val="75000"/>
              </a:schemeClr>
            </a:solidFill>
            <a:round/>
          </a:ln>
          <a:effectLst>
            <a:outerShdw blurRad="50800" dist="38100" dir="5400000" algn="t" rotWithShape="0">
              <a:schemeClr val="tx1">
                <a:alpha val="40000"/>
              </a:schemeClr>
            </a:outerShdw>
          </a:effectLst>
        </c:spPr>
        <c:marker>
          <c:symbol val="diamond"/>
          <c:size val="5"/>
          <c:spPr>
            <a:solidFill>
              <a:srgbClr val="FF0000"/>
            </a:solidFill>
            <a:ln w="9525">
              <a:solidFill>
                <a:schemeClr val="accent2"/>
              </a:solidFill>
            </a:ln>
            <a:effectLst>
              <a:outerShdw blurRad="50800" dist="38100" dir="5400000" algn="t" rotWithShape="0">
                <a:schemeClr val="tx1">
                  <a:alpha val="40000"/>
                </a:schemeClr>
              </a:outerShdw>
            </a:effectLst>
          </c:spPr>
        </c:marker>
      </c:pivotFmt>
    </c:pivotFmts>
    <c:plotArea>
      <c:layout/>
      <c:lineChart>
        <c:grouping val="standard"/>
        <c:varyColors val="0"/>
        <c:ser>
          <c:idx val="0"/>
          <c:order val="0"/>
          <c:tx>
            <c:strRef>
              <c:f>failed_attempt!$B$1</c:f>
              <c:strCache>
                <c:ptCount val="1"/>
                <c:pt idx="0">
                  <c:v>Average of corner_taken</c:v>
                </c:pt>
              </c:strCache>
            </c:strRef>
          </c:tx>
          <c:spPr>
            <a:ln w="28575" cap="rnd">
              <a:solidFill>
                <a:srgbClr val="0070C0"/>
              </a:solidFill>
              <a:round/>
            </a:ln>
            <a:effectLst>
              <a:outerShdw blurRad="50800" dist="38100" dir="5400000" algn="t" rotWithShape="0">
                <a:schemeClr val="tx1">
                  <a:alpha val="40000"/>
                </a:schemeClr>
              </a:outerShdw>
            </a:effectLst>
          </c:spPr>
          <c:marker>
            <c:symbol val="diamond"/>
            <c:size val="5"/>
            <c:spPr>
              <a:solidFill>
                <a:srgbClr val="FF0000"/>
              </a:solidFill>
              <a:ln w="9525">
                <a:noFill/>
              </a:ln>
              <a:effectLst>
                <a:outerShdw blurRad="50800" dist="38100" dir="5400000" algn="t" rotWithShape="0">
                  <a:schemeClr val="tx1">
                    <a:alpha val="40000"/>
                  </a:schemeClr>
                </a:outerShdw>
              </a:effectLst>
            </c:spPr>
          </c:marker>
          <c:cat>
            <c:strRef>
              <c:f>failed_attempt!$A$2:$A$5</c:f>
              <c:strCache>
                <c:ptCount val="3"/>
                <c:pt idx="0">
                  <c:v>2015-2016</c:v>
                </c:pt>
                <c:pt idx="1">
                  <c:v>2016-2017</c:v>
                </c:pt>
                <c:pt idx="2">
                  <c:v>2017-2018</c:v>
                </c:pt>
              </c:strCache>
            </c:strRef>
          </c:cat>
          <c:val>
            <c:numRef>
              <c:f>failed_attempt!$B$2:$B$5</c:f>
              <c:numCache>
                <c:formatCode>General</c:formatCode>
                <c:ptCount val="3"/>
                <c:pt idx="0">
                  <c:v>205.35</c:v>
                </c:pt>
                <c:pt idx="1">
                  <c:v>197.9</c:v>
                </c:pt>
                <c:pt idx="2">
                  <c:v>195.55</c:v>
                </c:pt>
              </c:numCache>
            </c:numRef>
          </c:val>
          <c:smooth val="0"/>
          <c:extLst>
            <c:ext xmlns:c16="http://schemas.microsoft.com/office/drawing/2014/chart" uri="{C3380CC4-5D6E-409C-BE32-E72D297353CC}">
              <c16:uniqueId val="{00000000-96C1-44F7-A501-9CCF3C32FB3E}"/>
            </c:ext>
          </c:extLst>
        </c:ser>
        <c:ser>
          <c:idx val="1"/>
          <c:order val="1"/>
          <c:tx>
            <c:strRef>
              <c:f>failed_attempt!$C$1</c:f>
              <c:strCache>
                <c:ptCount val="1"/>
                <c:pt idx="0">
                  <c:v>Average of total_offside</c:v>
                </c:pt>
              </c:strCache>
            </c:strRef>
          </c:tx>
          <c:spPr>
            <a:ln w="28575" cap="rnd">
              <a:solidFill>
                <a:schemeClr val="accent6">
                  <a:lumMod val="75000"/>
                </a:schemeClr>
              </a:solidFill>
              <a:round/>
            </a:ln>
            <a:effectLst>
              <a:outerShdw blurRad="50800" dist="38100" dir="5400000" algn="t" rotWithShape="0">
                <a:prstClr val="black">
                  <a:alpha val="40000"/>
                </a:prstClr>
              </a:outerShdw>
            </a:effectLst>
          </c:spPr>
          <c:marker>
            <c:symbol val="diamond"/>
            <c:size val="5"/>
            <c:spPr>
              <a:solidFill>
                <a:srgbClr val="FF0000"/>
              </a:solidFill>
              <a:ln w="9525">
                <a:solidFill>
                  <a:schemeClr val="accent2"/>
                </a:solidFill>
              </a:ln>
              <a:effectLst>
                <a:outerShdw blurRad="50800" dist="38100" dir="5400000" algn="t" rotWithShape="0">
                  <a:prstClr val="black">
                    <a:alpha val="40000"/>
                  </a:prstClr>
                </a:outerShdw>
              </a:effectLst>
            </c:spPr>
          </c:marker>
          <c:dPt>
            <c:idx val="2"/>
            <c:marker>
              <c:symbol val="diamond"/>
              <c:size val="5"/>
              <c:spPr>
                <a:solidFill>
                  <a:srgbClr val="FF0000"/>
                </a:solidFill>
                <a:ln w="9525">
                  <a:solidFill>
                    <a:schemeClr val="accent2"/>
                  </a:solidFill>
                </a:ln>
                <a:effectLst>
                  <a:outerShdw blurRad="50800" dist="38100" dir="5400000" algn="t" rotWithShape="0">
                    <a:schemeClr val="tx1">
                      <a:alpha val="40000"/>
                    </a:schemeClr>
                  </a:outerShdw>
                </a:effectLst>
              </c:spPr>
            </c:marker>
            <c:bubble3D val="0"/>
            <c:spPr>
              <a:ln w="28575" cap="rnd">
                <a:solidFill>
                  <a:schemeClr val="accent6">
                    <a:lumMod val="75000"/>
                  </a:schemeClr>
                </a:solidFill>
                <a:round/>
              </a:ln>
              <a:effectLst>
                <a:outerShdw blurRad="50800" dist="38100" dir="5400000" algn="t" rotWithShape="0">
                  <a:schemeClr val="tx1">
                    <a:alpha val="40000"/>
                  </a:schemeClr>
                </a:outerShdw>
              </a:effectLst>
            </c:spPr>
            <c:extLst>
              <c:ext xmlns:c16="http://schemas.microsoft.com/office/drawing/2014/chart" uri="{C3380CC4-5D6E-409C-BE32-E72D297353CC}">
                <c16:uniqueId val="{00000002-96C1-44F7-A501-9CCF3C32FB3E}"/>
              </c:ext>
            </c:extLst>
          </c:dPt>
          <c:cat>
            <c:strRef>
              <c:f>failed_attempt!$A$2:$A$5</c:f>
              <c:strCache>
                <c:ptCount val="3"/>
                <c:pt idx="0">
                  <c:v>2015-2016</c:v>
                </c:pt>
                <c:pt idx="1">
                  <c:v>2016-2017</c:v>
                </c:pt>
                <c:pt idx="2">
                  <c:v>2017-2018</c:v>
                </c:pt>
              </c:strCache>
            </c:strRef>
          </c:cat>
          <c:val>
            <c:numRef>
              <c:f>failed_attempt!$C$2:$C$5</c:f>
              <c:numCache>
                <c:formatCode>General</c:formatCode>
                <c:ptCount val="3"/>
                <c:pt idx="0">
                  <c:v>74.8</c:v>
                </c:pt>
                <c:pt idx="1">
                  <c:v>72.75</c:v>
                </c:pt>
                <c:pt idx="2">
                  <c:v>78.400000000000006</c:v>
                </c:pt>
              </c:numCache>
            </c:numRef>
          </c:val>
          <c:smooth val="0"/>
          <c:extLst>
            <c:ext xmlns:c16="http://schemas.microsoft.com/office/drawing/2014/chart" uri="{C3380CC4-5D6E-409C-BE32-E72D297353CC}">
              <c16:uniqueId val="{00000003-96C1-44F7-A501-9CCF3C32FB3E}"/>
            </c:ext>
          </c:extLst>
        </c:ser>
        <c:dLbls>
          <c:showLegendKey val="0"/>
          <c:showVal val="0"/>
          <c:showCatName val="0"/>
          <c:showSerName val="0"/>
          <c:showPercent val="0"/>
          <c:showBubbleSize val="0"/>
        </c:dLbls>
        <c:marker val="1"/>
        <c:smooth val="0"/>
        <c:axId val="589072367"/>
        <c:axId val="589073199"/>
      </c:lineChart>
      <c:catAx>
        <c:axId val="5890723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589073199"/>
        <c:crosses val="autoZero"/>
        <c:auto val="1"/>
        <c:lblAlgn val="ctr"/>
        <c:lblOffset val="100"/>
        <c:noMultiLvlLbl val="0"/>
      </c:catAx>
      <c:valAx>
        <c:axId val="58907319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589072367"/>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[analyzegoal_premierleague.xlsm]failed_attempt!PivotTable7</c:name>
    <c:fmtId val="28"/>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2">
                <a:lumMod val="75000"/>
              </a:schemeClr>
            </a:solidFill>
            <a:round/>
          </a:ln>
          <a:effectLst>
            <a:outerShdw blurRad="50800" dist="38100" dir="5400000" algn="t" rotWithShape="0">
              <a:schemeClr val="tx1">
                <a:alpha val="40000"/>
              </a:schemeClr>
            </a:outerShdw>
          </a:effectLst>
        </c:spPr>
        <c:marker>
          <c:symbol val="diamond"/>
          <c:size val="5"/>
          <c:spPr>
            <a:solidFill>
              <a:srgbClr val="FF0000"/>
            </a:solidFill>
            <a:ln w="9525">
              <a:noFill/>
            </a:ln>
            <a:effectLst>
              <a:outerShdw blurRad="50800" dist="38100" dir="5400000" algn="t" rotWithShape="0">
                <a:schemeClr val="tx1">
                  <a:alpha val="40000"/>
                </a:scheme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tx2">
                <a:lumMod val="75000"/>
              </a:schemeClr>
            </a:solidFill>
            <a:round/>
          </a:ln>
          <a:effectLst/>
        </c:spPr>
        <c:marker>
          <c:symbol val="diamond"/>
          <c:size val="5"/>
          <c:spPr>
            <a:solidFill>
              <a:srgbClr val="FF0000"/>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2">
                <a:lumMod val="75000"/>
              </a:schemeClr>
            </a:solidFill>
            <a:round/>
          </a:ln>
          <a:effectLst>
            <a:outerShdw blurRad="50800" dist="38100" dir="5400000" algn="t" rotWithShape="0">
              <a:schemeClr val="tx1">
                <a:alpha val="40000"/>
              </a:schemeClr>
            </a:outerShdw>
          </a:effectLst>
        </c:spPr>
        <c:marker>
          <c:symbol val="diamond"/>
          <c:size val="5"/>
          <c:spPr>
            <a:solidFill>
              <a:srgbClr val="FF0000"/>
            </a:solidFill>
            <a:ln w="9525">
              <a:noFill/>
            </a:ln>
            <a:effectLst>
              <a:outerShdw blurRad="50800" dist="38100" dir="5400000" algn="t" rotWithShape="0">
                <a:schemeClr val="tx1">
                  <a:alpha val="40000"/>
                </a:scheme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tx2">
                <a:lumMod val="75000"/>
              </a:schemeClr>
            </a:solidFill>
            <a:round/>
          </a:ln>
          <a:effectLst/>
        </c:spPr>
        <c:marker>
          <c:symbol val="diamond"/>
          <c:size val="5"/>
          <c:spPr>
            <a:solidFill>
              <a:srgbClr val="FF0000"/>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2">
                <a:lumMod val="75000"/>
              </a:schemeClr>
            </a:solidFill>
            <a:round/>
          </a:ln>
          <a:effectLst>
            <a:outerShdw blurRad="50800" dist="38100" dir="5400000" algn="t" rotWithShape="0">
              <a:schemeClr val="tx1">
                <a:alpha val="40000"/>
              </a:schemeClr>
            </a:outerShdw>
          </a:effectLst>
        </c:spPr>
        <c:marker>
          <c:symbol val="diamond"/>
          <c:size val="5"/>
          <c:spPr>
            <a:solidFill>
              <a:srgbClr val="FF0000"/>
            </a:solidFill>
            <a:ln w="9525">
              <a:noFill/>
            </a:ln>
            <a:effectLst>
              <a:outerShdw blurRad="50800" dist="38100" dir="5400000" algn="t" rotWithShape="0">
                <a:schemeClr val="tx1">
                  <a:alpha val="40000"/>
                </a:scheme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tx2">
                <a:lumMod val="75000"/>
              </a:schemeClr>
            </a:solidFill>
            <a:round/>
          </a:ln>
          <a:effectLst/>
        </c:spPr>
        <c:marker>
          <c:symbol val="diamond"/>
          <c:size val="5"/>
          <c:spPr>
            <a:solidFill>
              <a:srgbClr val="FF0000"/>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failed_attempt!$B$20</c:f>
              <c:strCache>
                <c:ptCount val="1"/>
                <c:pt idx="0">
                  <c:v>Average of hit_woodwork</c:v>
                </c:pt>
              </c:strCache>
            </c:strRef>
          </c:tx>
          <c:spPr>
            <a:ln w="28575" cap="rnd">
              <a:solidFill>
                <a:schemeClr val="accent2">
                  <a:lumMod val="75000"/>
                </a:schemeClr>
              </a:solidFill>
              <a:round/>
            </a:ln>
            <a:effectLst>
              <a:outerShdw blurRad="50800" dist="38100" dir="5400000" algn="t" rotWithShape="0">
                <a:schemeClr val="tx1">
                  <a:alpha val="40000"/>
                </a:schemeClr>
              </a:outerShdw>
            </a:effectLst>
          </c:spPr>
          <c:marker>
            <c:symbol val="diamond"/>
            <c:size val="5"/>
            <c:spPr>
              <a:solidFill>
                <a:srgbClr val="FF0000"/>
              </a:solidFill>
              <a:ln w="9525">
                <a:noFill/>
              </a:ln>
              <a:effectLst>
                <a:outerShdw blurRad="50800" dist="38100" dir="5400000" algn="t" rotWithShape="0">
                  <a:schemeClr val="tx1">
                    <a:alpha val="40000"/>
                  </a:schemeClr>
                </a:outerShdw>
              </a:effectLst>
            </c:spPr>
          </c:marker>
          <c:cat>
            <c:strRef>
              <c:f>failed_attempt!$A$21:$A$24</c:f>
              <c:strCache>
                <c:ptCount val="3"/>
                <c:pt idx="0">
                  <c:v>2015-2016</c:v>
                </c:pt>
                <c:pt idx="1">
                  <c:v>2016-2017</c:v>
                </c:pt>
                <c:pt idx="2">
                  <c:v>2017-2018</c:v>
                </c:pt>
              </c:strCache>
            </c:strRef>
          </c:cat>
          <c:val>
            <c:numRef>
              <c:f>failed_attempt!$B$21:$B$24</c:f>
              <c:numCache>
                <c:formatCode>General</c:formatCode>
                <c:ptCount val="3"/>
                <c:pt idx="0">
                  <c:v>11.85</c:v>
                </c:pt>
                <c:pt idx="1">
                  <c:v>12.65</c:v>
                </c:pt>
                <c:pt idx="2">
                  <c:v>11.3</c:v>
                </c:pt>
              </c:numCache>
            </c:numRef>
          </c:val>
          <c:smooth val="0"/>
          <c:extLst>
            <c:ext xmlns:c16="http://schemas.microsoft.com/office/drawing/2014/chart" uri="{C3380CC4-5D6E-409C-BE32-E72D297353CC}">
              <c16:uniqueId val="{00000000-DE0F-4E4A-B4A5-5EEB5397D8CE}"/>
            </c:ext>
          </c:extLst>
        </c:ser>
        <c:ser>
          <c:idx val="1"/>
          <c:order val="1"/>
          <c:tx>
            <c:strRef>
              <c:f>failed_attempt!$C$20</c:f>
              <c:strCache>
                <c:ptCount val="1"/>
                <c:pt idx="0">
                  <c:v>Average of pen_goals_conceded</c:v>
                </c:pt>
              </c:strCache>
            </c:strRef>
          </c:tx>
          <c:spPr>
            <a:ln w="28575" cap="rnd">
              <a:solidFill>
                <a:schemeClr val="tx2">
                  <a:lumMod val="75000"/>
                </a:schemeClr>
              </a:solidFill>
              <a:round/>
            </a:ln>
            <a:effectLst/>
          </c:spPr>
          <c:marker>
            <c:symbol val="diamond"/>
            <c:size val="5"/>
            <c:spPr>
              <a:solidFill>
                <a:srgbClr val="FF0000"/>
              </a:solidFill>
              <a:ln w="9525">
                <a:solidFill>
                  <a:schemeClr val="accent2"/>
                </a:solidFill>
              </a:ln>
              <a:effectLst/>
            </c:spPr>
          </c:marker>
          <c:cat>
            <c:strRef>
              <c:f>failed_attempt!$A$21:$A$24</c:f>
              <c:strCache>
                <c:ptCount val="3"/>
                <c:pt idx="0">
                  <c:v>2015-2016</c:v>
                </c:pt>
                <c:pt idx="1">
                  <c:v>2016-2017</c:v>
                </c:pt>
                <c:pt idx="2">
                  <c:v>2017-2018</c:v>
                </c:pt>
              </c:strCache>
            </c:strRef>
          </c:cat>
          <c:val>
            <c:numRef>
              <c:f>failed_attempt!$C$21:$C$24</c:f>
              <c:numCache>
                <c:formatCode>General</c:formatCode>
                <c:ptCount val="3"/>
                <c:pt idx="0">
                  <c:v>3.7</c:v>
                </c:pt>
                <c:pt idx="1">
                  <c:v>4.05</c:v>
                </c:pt>
                <c:pt idx="2">
                  <c:v>2.8</c:v>
                </c:pt>
              </c:numCache>
            </c:numRef>
          </c:val>
          <c:smooth val="0"/>
          <c:extLst>
            <c:ext xmlns:c16="http://schemas.microsoft.com/office/drawing/2014/chart" uri="{C3380CC4-5D6E-409C-BE32-E72D297353CC}">
              <c16:uniqueId val="{00000001-DE0F-4E4A-B4A5-5EEB5397D8CE}"/>
            </c:ext>
          </c:extLst>
        </c:ser>
        <c:dLbls>
          <c:showLegendKey val="0"/>
          <c:showVal val="0"/>
          <c:showCatName val="0"/>
          <c:showSerName val="0"/>
          <c:showPercent val="0"/>
          <c:showBubbleSize val="0"/>
        </c:dLbls>
        <c:marker val="1"/>
        <c:smooth val="0"/>
        <c:axId val="474603279"/>
        <c:axId val="474608271"/>
      </c:lineChart>
      <c:catAx>
        <c:axId val="4746032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474608271"/>
        <c:crosses val="autoZero"/>
        <c:auto val="1"/>
        <c:lblAlgn val="ctr"/>
        <c:lblOffset val="100"/>
        <c:noMultiLvlLbl val="0"/>
      </c:catAx>
      <c:valAx>
        <c:axId val="47460827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474603279"/>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dLbls>
          <c:showLegendKey val="0"/>
          <c:showVal val="0"/>
          <c:showCatName val="0"/>
          <c:showSerName val="0"/>
          <c:showPercent val="0"/>
          <c:showBubbleSize val="0"/>
          <c:showLeaderLines val="0"/>
        </c:dLbls>
        <c:firstSliceAng val="27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[analyzegoal_premierleague.xlsm]goal_statistic!PivotTable4</c:name>
    <c:fmtId val="45"/>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6">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6">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6">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goal_statistic!$B$1</c:f>
              <c:strCache>
                <c:ptCount val="1"/>
                <c:pt idx="0">
                  <c:v>Average of att_hd_goal</c:v>
                </c:pt>
              </c:strCache>
            </c:strRef>
          </c:tx>
          <c:spPr>
            <a:solidFill>
              <a:srgbClr val="002060"/>
            </a:solidFill>
            <a:ln>
              <a:noFill/>
            </a:ln>
            <a:effectLst/>
          </c:spPr>
          <c:invertIfNegative val="0"/>
          <c:cat>
            <c:strRef>
              <c:f>goal_statistic!$A$2:$A$5</c:f>
              <c:strCache>
                <c:ptCount val="3"/>
                <c:pt idx="0">
                  <c:v>2015-2016</c:v>
                </c:pt>
                <c:pt idx="1">
                  <c:v>2016-2017</c:v>
                </c:pt>
                <c:pt idx="2">
                  <c:v>2017-2018</c:v>
                </c:pt>
              </c:strCache>
            </c:strRef>
          </c:cat>
          <c:val>
            <c:numRef>
              <c:f>goal_statistic!$B$2:$B$5</c:f>
              <c:numCache>
                <c:formatCode>General</c:formatCode>
                <c:ptCount val="3"/>
                <c:pt idx="0">
                  <c:v>9</c:v>
                </c:pt>
                <c:pt idx="1">
                  <c:v>9.4</c:v>
                </c:pt>
                <c:pt idx="2">
                  <c:v>8.6999999999999993</c:v>
                </c:pt>
              </c:numCache>
            </c:numRef>
          </c:val>
          <c:extLst>
            <c:ext xmlns:c16="http://schemas.microsoft.com/office/drawing/2014/chart" uri="{C3380CC4-5D6E-409C-BE32-E72D297353CC}">
              <c16:uniqueId val="{00000000-E207-454E-BECE-CE94E6FCAB1A}"/>
            </c:ext>
          </c:extLst>
        </c:ser>
        <c:ser>
          <c:idx val="1"/>
          <c:order val="1"/>
          <c:tx>
            <c:strRef>
              <c:f>goal_statistic!$C$1</c:f>
              <c:strCache>
                <c:ptCount val="1"/>
                <c:pt idx="0">
                  <c:v>Average of att_pen_goal</c:v>
                </c:pt>
              </c:strCache>
            </c:strRef>
          </c:tx>
          <c:spPr>
            <a:solidFill>
              <a:schemeClr val="accent6">
                <a:lumMod val="50000"/>
              </a:schemeClr>
            </a:solidFill>
            <a:ln>
              <a:noFill/>
            </a:ln>
            <a:effectLst/>
          </c:spPr>
          <c:invertIfNegative val="0"/>
          <c:cat>
            <c:strRef>
              <c:f>goal_statistic!$A$2:$A$5</c:f>
              <c:strCache>
                <c:ptCount val="3"/>
                <c:pt idx="0">
                  <c:v>2015-2016</c:v>
                </c:pt>
                <c:pt idx="1">
                  <c:v>2016-2017</c:v>
                </c:pt>
                <c:pt idx="2">
                  <c:v>2017-2018</c:v>
                </c:pt>
              </c:strCache>
            </c:strRef>
          </c:cat>
          <c:val>
            <c:numRef>
              <c:f>goal_statistic!$C$2:$C$5</c:f>
              <c:numCache>
                <c:formatCode>General</c:formatCode>
                <c:ptCount val="3"/>
                <c:pt idx="0">
                  <c:v>3.7</c:v>
                </c:pt>
                <c:pt idx="1">
                  <c:v>4.05</c:v>
                </c:pt>
                <c:pt idx="2">
                  <c:v>2.8</c:v>
                </c:pt>
              </c:numCache>
            </c:numRef>
          </c:val>
          <c:extLst>
            <c:ext xmlns:c16="http://schemas.microsoft.com/office/drawing/2014/chart" uri="{C3380CC4-5D6E-409C-BE32-E72D297353CC}">
              <c16:uniqueId val="{00000001-E207-454E-BECE-CE94E6FCAB1A}"/>
            </c:ext>
          </c:extLst>
        </c:ser>
        <c:ser>
          <c:idx val="2"/>
          <c:order val="2"/>
          <c:tx>
            <c:strRef>
              <c:f>goal_statistic!$D$1</c:f>
              <c:strCache>
                <c:ptCount val="1"/>
                <c:pt idx="0">
                  <c:v>Average of goal_fastbreak</c:v>
                </c:pt>
              </c:strCache>
            </c:strRef>
          </c:tx>
          <c:spPr>
            <a:solidFill>
              <a:schemeClr val="accent4">
                <a:lumMod val="75000"/>
              </a:schemeClr>
            </a:solidFill>
            <a:ln>
              <a:noFill/>
            </a:ln>
            <a:effectLst/>
          </c:spPr>
          <c:invertIfNegative val="0"/>
          <c:cat>
            <c:strRef>
              <c:f>goal_statistic!$A$2:$A$5</c:f>
              <c:strCache>
                <c:ptCount val="3"/>
                <c:pt idx="0">
                  <c:v>2015-2016</c:v>
                </c:pt>
                <c:pt idx="1">
                  <c:v>2016-2017</c:v>
                </c:pt>
                <c:pt idx="2">
                  <c:v>2017-2018</c:v>
                </c:pt>
              </c:strCache>
            </c:strRef>
          </c:cat>
          <c:val>
            <c:numRef>
              <c:f>goal_statistic!$D$2:$D$5</c:f>
              <c:numCache>
                <c:formatCode>General</c:formatCode>
                <c:ptCount val="3"/>
                <c:pt idx="0">
                  <c:v>1.9</c:v>
                </c:pt>
                <c:pt idx="1">
                  <c:v>2.4500000000000002</c:v>
                </c:pt>
                <c:pt idx="2">
                  <c:v>2.8</c:v>
                </c:pt>
              </c:numCache>
            </c:numRef>
          </c:val>
          <c:extLst>
            <c:ext xmlns:c16="http://schemas.microsoft.com/office/drawing/2014/chart" uri="{C3380CC4-5D6E-409C-BE32-E72D297353CC}">
              <c16:uniqueId val="{00000002-E207-454E-BECE-CE94E6FCAB1A}"/>
            </c:ext>
          </c:extLst>
        </c:ser>
        <c:ser>
          <c:idx val="3"/>
          <c:order val="3"/>
          <c:tx>
            <c:strRef>
              <c:f>goal_statistic!$E$1</c:f>
              <c:strCache>
                <c:ptCount val="1"/>
                <c:pt idx="0">
                  <c:v>Average of att_freekick_goal</c:v>
                </c:pt>
              </c:strCache>
            </c:strRef>
          </c:tx>
          <c:spPr>
            <a:solidFill>
              <a:srgbClr val="FFFF00"/>
            </a:solidFill>
            <a:ln>
              <a:noFill/>
            </a:ln>
            <a:effectLst/>
          </c:spPr>
          <c:invertIfNegative val="0"/>
          <c:cat>
            <c:strRef>
              <c:f>goal_statistic!$A$2:$A$5</c:f>
              <c:strCache>
                <c:ptCount val="3"/>
                <c:pt idx="0">
                  <c:v>2015-2016</c:v>
                </c:pt>
                <c:pt idx="1">
                  <c:v>2016-2017</c:v>
                </c:pt>
                <c:pt idx="2">
                  <c:v>2017-2018</c:v>
                </c:pt>
              </c:strCache>
            </c:strRef>
          </c:cat>
          <c:val>
            <c:numRef>
              <c:f>goal_statistic!$E$2:$E$5</c:f>
              <c:numCache>
                <c:formatCode>General</c:formatCode>
                <c:ptCount val="3"/>
                <c:pt idx="0">
                  <c:v>1.25</c:v>
                </c:pt>
                <c:pt idx="1">
                  <c:v>1.35</c:v>
                </c:pt>
                <c:pt idx="2">
                  <c:v>0.9</c:v>
                </c:pt>
              </c:numCache>
            </c:numRef>
          </c:val>
          <c:extLst>
            <c:ext xmlns:c16="http://schemas.microsoft.com/office/drawing/2014/chart" uri="{C3380CC4-5D6E-409C-BE32-E72D297353CC}">
              <c16:uniqueId val="{00000003-E207-454E-BECE-CE94E6FCAB1A}"/>
            </c:ext>
          </c:extLst>
        </c:ser>
        <c:dLbls>
          <c:showLegendKey val="0"/>
          <c:showVal val="0"/>
          <c:showCatName val="0"/>
          <c:showSerName val="0"/>
          <c:showPercent val="0"/>
          <c:showBubbleSize val="0"/>
        </c:dLbls>
        <c:gapWidth val="150"/>
        <c:overlap val="100"/>
        <c:axId val="36445951"/>
        <c:axId val="36430559"/>
      </c:barChart>
      <c:catAx>
        <c:axId val="364459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36430559"/>
        <c:crosses val="autoZero"/>
        <c:auto val="1"/>
        <c:lblAlgn val="ctr"/>
        <c:lblOffset val="100"/>
        <c:noMultiLvlLbl val="0"/>
      </c:catAx>
      <c:valAx>
        <c:axId val="36430559"/>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36445951"/>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dLbls>
          <c:showLegendKey val="0"/>
          <c:showVal val="0"/>
          <c:showCatName val="0"/>
          <c:showSerName val="0"/>
          <c:showPercent val="0"/>
          <c:showBubbleSize val="0"/>
          <c:showLeaderLines val="0"/>
        </c:dLbls>
        <c:firstSliceAng val="27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dLbls>
          <c:showLegendKey val="0"/>
          <c:showVal val="0"/>
          <c:showCatName val="0"/>
          <c:showSerName val="0"/>
          <c:showPercent val="0"/>
          <c:showBubbleSize val="0"/>
          <c:showLeaderLines val="0"/>
        </c:dLbls>
        <c:firstSliceAng val="27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tx1"/>
              </a:solidFill>
              <a:ln w="19050">
                <a:solidFill>
                  <a:schemeClr val="lt1"/>
                </a:solidFill>
              </a:ln>
              <a:effectLst/>
            </c:spPr>
            <c:extLst>
              <c:ext xmlns:c16="http://schemas.microsoft.com/office/drawing/2014/chart" uri="{C3380CC4-5D6E-409C-BE32-E72D297353CC}">
                <c16:uniqueId val="{00000001-F1E0-424B-8A9D-3C66FBAE8526}"/>
              </c:ext>
            </c:extLst>
          </c:dPt>
          <c:dPt>
            <c:idx val="1"/>
            <c:bubble3D val="0"/>
            <c:spPr>
              <a:noFill/>
              <a:ln w="19050">
                <a:solidFill>
                  <a:schemeClr val="lt1"/>
                </a:solidFill>
              </a:ln>
              <a:effectLst/>
            </c:spPr>
            <c:extLst>
              <c:ext xmlns:c16="http://schemas.microsoft.com/office/drawing/2014/chart" uri="{C3380CC4-5D6E-409C-BE32-E72D297353CC}">
                <c16:uniqueId val="{00000003-F1E0-424B-8A9D-3C66FBAE8526}"/>
              </c:ext>
            </c:extLst>
          </c:dPt>
          <c:val>
            <c:numRef>
              <c:f>goal_area!$E$2:$E$3</c:f>
              <c:numCache>
                <c:formatCode>General</c:formatCode>
                <c:ptCount val="2"/>
                <c:pt idx="0">
                  <c:v>44.15</c:v>
                </c:pt>
                <c:pt idx="1">
                  <c:v>7.1499999999999986</c:v>
                </c:pt>
              </c:numCache>
            </c:numRef>
          </c:val>
          <c:extLst>
            <c:ext xmlns:c16="http://schemas.microsoft.com/office/drawing/2014/chart" uri="{C3380CC4-5D6E-409C-BE32-E72D297353CC}">
              <c16:uniqueId val="{00000004-F1E0-424B-8A9D-3C66FBAE8526}"/>
            </c:ext>
          </c:extLst>
        </c:ser>
        <c:dLbls>
          <c:showLegendKey val="0"/>
          <c:showVal val="0"/>
          <c:showCatName val="0"/>
          <c:showSerName val="0"/>
          <c:showPercent val="0"/>
          <c:showBubbleSize val="0"/>
          <c:showLeaderLines val="1"/>
        </c:dLbls>
        <c:firstSliceAng val="270"/>
        <c:holeSize val="8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tx1"/>
              </a:solidFill>
              <a:ln w="19050">
                <a:solidFill>
                  <a:schemeClr val="lt1"/>
                </a:solidFill>
              </a:ln>
              <a:effectLst/>
            </c:spPr>
            <c:extLst>
              <c:ext xmlns:c16="http://schemas.microsoft.com/office/drawing/2014/chart" uri="{C3380CC4-5D6E-409C-BE32-E72D297353CC}">
                <c16:uniqueId val="{00000001-B19C-42D5-8FFE-8BF6979B6618}"/>
              </c:ext>
            </c:extLst>
          </c:dPt>
          <c:dPt>
            <c:idx val="1"/>
            <c:bubble3D val="0"/>
            <c:spPr>
              <a:noFill/>
              <a:ln w="19050">
                <a:solidFill>
                  <a:schemeClr val="lt1"/>
                </a:solidFill>
              </a:ln>
              <a:effectLst/>
            </c:spPr>
            <c:extLst>
              <c:ext xmlns:c16="http://schemas.microsoft.com/office/drawing/2014/chart" uri="{C3380CC4-5D6E-409C-BE32-E72D297353CC}">
                <c16:uniqueId val="{00000003-B19C-42D5-8FFE-8BF6979B6618}"/>
              </c:ext>
            </c:extLst>
          </c:dPt>
          <c:val>
            <c:numRef>
              <c:f>goal_area!$H$2:$H$3</c:f>
              <c:numCache>
                <c:formatCode>General</c:formatCode>
                <c:ptCount val="2"/>
                <c:pt idx="0">
                  <c:v>47.1</c:v>
                </c:pt>
                <c:pt idx="1">
                  <c:v>6.1000000000000014</c:v>
                </c:pt>
              </c:numCache>
            </c:numRef>
          </c:val>
          <c:extLst>
            <c:ext xmlns:c16="http://schemas.microsoft.com/office/drawing/2014/chart" uri="{C3380CC4-5D6E-409C-BE32-E72D297353CC}">
              <c16:uniqueId val="{00000004-B19C-42D5-8FFE-8BF6979B6618}"/>
            </c:ext>
          </c:extLst>
        </c:ser>
        <c:dLbls>
          <c:showLegendKey val="0"/>
          <c:showVal val="0"/>
          <c:showCatName val="0"/>
          <c:showSerName val="0"/>
          <c:showPercent val="0"/>
          <c:showBubbleSize val="0"/>
          <c:showLeaderLines val="1"/>
        </c:dLbls>
        <c:firstSliceAng val="270"/>
        <c:holeSize val="8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tx1"/>
              </a:solidFill>
              <a:ln w="19050">
                <a:solidFill>
                  <a:schemeClr val="lt1"/>
                </a:solidFill>
              </a:ln>
              <a:effectLst/>
            </c:spPr>
            <c:extLst>
              <c:ext xmlns:c16="http://schemas.microsoft.com/office/drawing/2014/chart" uri="{C3380CC4-5D6E-409C-BE32-E72D297353CC}">
                <c16:uniqueId val="{00000001-9E0B-487A-B969-6FB96BD4A943}"/>
              </c:ext>
            </c:extLst>
          </c:dPt>
          <c:dPt>
            <c:idx val="1"/>
            <c:bubble3D val="0"/>
            <c:spPr>
              <a:noFill/>
              <a:ln w="19050">
                <a:solidFill>
                  <a:schemeClr val="bg1"/>
                </a:solidFill>
              </a:ln>
              <a:effectLst/>
            </c:spPr>
            <c:extLst>
              <c:ext xmlns:c16="http://schemas.microsoft.com/office/drawing/2014/chart" uri="{C3380CC4-5D6E-409C-BE32-E72D297353CC}">
                <c16:uniqueId val="{00000003-9E0B-487A-B969-6FB96BD4A943}"/>
              </c:ext>
            </c:extLst>
          </c:dPt>
          <c:val>
            <c:numRef>
              <c:f>goal_area!$K$2:$K$3</c:f>
              <c:numCache>
                <c:formatCode>General</c:formatCode>
                <c:ptCount val="2"/>
                <c:pt idx="0">
                  <c:v>44.25</c:v>
                </c:pt>
                <c:pt idx="1">
                  <c:v>6.6499999999999986</c:v>
                </c:pt>
              </c:numCache>
            </c:numRef>
          </c:val>
          <c:extLst>
            <c:ext xmlns:c16="http://schemas.microsoft.com/office/drawing/2014/chart" uri="{C3380CC4-5D6E-409C-BE32-E72D297353CC}">
              <c16:uniqueId val="{00000004-9E0B-487A-B969-6FB96BD4A943}"/>
            </c:ext>
          </c:extLst>
        </c:ser>
        <c:dLbls>
          <c:showLegendKey val="0"/>
          <c:showVal val="0"/>
          <c:showCatName val="0"/>
          <c:showSerName val="0"/>
          <c:showPercent val="0"/>
          <c:showBubbleSize val="0"/>
          <c:showLeaderLines val="1"/>
        </c:dLbls>
        <c:firstSliceAng val="270"/>
        <c:holeSize val="8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solidFill>
                <a:schemeClr val="tx1"/>
              </a:solidFill>
            </a:ln>
          </c:spPr>
          <c:dPt>
            <c:idx val="0"/>
            <c:bubble3D val="0"/>
            <c:spPr>
              <a:solidFill>
                <a:schemeClr val="bg1"/>
              </a:solidFill>
              <a:ln w="19050">
                <a:solidFill>
                  <a:schemeClr val="tx1"/>
                </a:solidFill>
              </a:ln>
              <a:effectLst/>
            </c:spPr>
            <c:extLst>
              <c:ext xmlns:c16="http://schemas.microsoft.com/office/drawing/2014/chart" uri="{C3380CC4-5D6E-409C-BE32-E72D297353CC}">
                <c16:uniqueId val="{00000001-66FE-4CF3-80A1-34E99CB8EC56}"/>
              </c:ext>
            </c:extLst>
          </c:dPt>
          <c:dPt>
            <c:idx val="1"/>
            <c:bubble3D val="0"/>
            <c:spPr>
              <a:noFill/>
              <a:ln w="19050">
                <a:solidFill>
                  <a:schemeClr val="tx1"/>
                </a:solidFill>
              </a:ln>
              <a:effectLst/>
            </c:spPr>
            <c:extLst>
              <c:ext xmlns:c16="http://schemas.microsoft.com/office/drawing/2014/chart" uri="{C3380CC4-5D6E-409C-BE32-E72D297353CC}">
                <c16:uniqueId val="{00000003-66FE-4CF3-80A1-34E99CB8EC56}"/>
              </c:ext>
            </c:extLst>
          </c:dPt>
          <c:val>
            <c:numRef>
              <c:f>goal_area!$H$7:$H$8</c:f>
              <c:numCache>
                <c:formatCode>General</c:formatCode>
                <c:ptCount val="2"/>
                <c:pt idx="0">
                  <c:v>6.15</c:v>
                </c:pt>
                <c:pt idx="1">
                  <c:v>47.050000000000004</c:v>
                </c:pt>
              </c:numCache>
            </c:numRef>
          </c:val>
          <c:extLst>
            <c:ext xmlns:c16="http://schemas.microsoft.com/office/drawing/2014/chart" uri="{C3380CC4-5D6E-409C-BE32-E72D297353CC}">
              <c16:uniqueId val="{00000004-66FE-4CF3-80A1-34E99CB8EC56}"/>
            </c:ext>
          </c:extLst>
        </c:ser>
        <c:dLbls>
          <c:showLegendKey val="0"/>
          <c:showVal val="0"/>
          <c:showCatName val="0"/>
          <c:showSerName val="0"/>
          <c:showPercent val="0"/>
          <c:showBubbleSize val="0"/>
          <c:showLeaderLines val="1"/>
        </c:dLbls>
        <c:firstSliceAng val="270"/>
        <c:holeSize val="8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bg1"/>
              </a:solidFill>
              <a:ln w="19050">
                <a:solidFill>
                  <a:schemeClr val="tx1"/>
                </a:solidFill>
              </a:ln>
              <a:effectLst/>
            </c:spPr>
            <c:extLst>
              <c:ext xmlns:c16="http://schemas.microsoft.com/office/drawing/2014/chart" uri="{C3380CC4-5D6E-409C-BE32-E72D297353CC}">
                <c16:uniqueId val="{00000001-99AE-40D9-ADAF-A9BE3F23F2DB}"/>
              </c:ext>
            </c:extLst>
          </c:dPt>
          <c:dPt>
            <c:idx val="1"/>
            <c:bubble3D val="0"/>
            <c:spPr>
              <a:noFill/>
              <a:ln w="19050">
                <a:solidFill>
                  <a:schemeClr val="tx1"/>
                </a:solidFill>
              </a:ln>
              <a:effectLst/>
            </c:spPr>
            <c:extLst>
              <c:ext xmlns:c16="http://schemas.microsoft.com/office/drawing/2014/chart" uri="{C3380CC4-5D6E-409C-BE32-E72D297353CC}">
                <c16:uniqueId val="{00000003-99AE-40D9-ADAF-A9BE3F23F2DB}"/>
              </c:ext>
            </c:extLst>
          </c:dPt>
          <c:val>
            <c:numRef>
              <c:f>goal_area!$K$7:$K$8</c:f>
              <c:numCache>
                <c:formatCode>General</c:formatCode>
                <c:ptCount val="2"/>
                <c:pt idx="0">
                  <c:v>6.9</c:v>
                </c:pt>
                <c:pt idx="1">
                  <c:v>44</c:v>
                </c:pt>
              </c:numCache>
            </c:numRef>
          </c:val>
          <c:extLst>
            <c:ext xmlns:c16="http://schemas.microsoft.com/office/drawing/2014/chart" uri="{C3380CC4-5D6E-409C-BE32-E72D297353CC}">
              <c16:uniqueId val="{00000004-99AE-40D9-ADAF-A9BE3F23F2DB}"/>
            </c:ext>
          </c:extLst>
        </c:ser>
        <c:dLbls>
          <c:showLegendKey val="0"/>
          <c:showVal val="0"/>
          <c:showCatName val="0"/>
          <c:showSerName val="0"/>
          <c:showPercent val="0"/>
          <c:showBubbleSize val="0"/>
          <c:showLeaderLines val="1"/>
        </c:dLbls>
        <c:firstSliceAng val="270"/>
        <c:holeSize val="8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solidFill>
                <a:schemeClr val="tx1"/>
              </a:solidFill>
            </a:ln>
          </c:spPr>
          <c:dPt>
            <c:idx val="0"/>
            <c:bubble3D val="0"/>
            <c:spPr>
              <a:solidFill>
                <a:schemeClr val="bg1"/>
              </a:solidFill>
              <a:ln w="19050">
                <a:solidFill>
                  <a:schemeClr val="tx1"/>
                </a:solidFill>
              </a:ln>
              <a:effectLst/>
            </c:spPr>
            <c:extLst>
              <c:ext xmlns:c16="http://schemas.microsoft.com/office/drawing/2014/chart" uri="{C3380CC4-5D6E-409C-BE32-E72D297353CC}">
                <c16:uniqueId val="{00000001-743A-4776-AF87-4057254EF55D}"/>
              </c:ext>
            </c:extLst>
          </c:dPt>
          <c:dPt>
            <c:idx val="1"/>
            <c:bubble3D val="0"/>
            <c:spPr>
              <a:noFill/>
              <a:ln w="19050">
                <a:solidFill>
                  <a:schemeClr val="tx1"/>
                </a:solidFill>
              </a:ln>
              <a:effectLst/>
            </c:spPr>
            <c:extLst>
              <c:ext xmlns:c16="http://schemas.microsoft.com/office/drawing/2014/chart" uri="{C3380CC4-5D6E-409C-BE32-E72D297353CC}">
                <c16:uniqueId val="{00000003-743A-4776-AF87-4057254EF55D}"/>
              </c:ext>
            </c:extLst>
          </c:dPt>
          <c:val>
            <c:numRef>
              <c:f>goal_area!$E$7:$E$8</c:f>
              <c:numCache>
                <c:formatCode>General</c:formatCode>
                <c:ptCount val="2"/>
                <c:pt idx="0">
                  <c:v>7.15</c:v>
                </c:pt>
                <c:pt idx="1">
                  <c:v>44.15</c:v>
                </c:pt>
              </c:numCache>
            </c:numRef>
          </c:val>
          <c:extLst>
            <c:ext xmlns:c16="http://schemas.microsoft.com/office/drawing/2014/chart" uri="{C3380CC4-5D6E-409C-BE32-E72D297353CC}">
              <c16:uniqueId val="{00000004-743A-4776-AF87-4057254EF55D}"/>
            </c:ext>
          </c:extLst>
        </c:ser>
        <c:dLbls>
          <c:showLegendKey val="0"/>
          <c:showVal val="0"/>
          <c:showCatName val="0"/>
          <c:showSerName val="0"/>
          <c:showPercent val="0"/>
          <c:showBubbleSize val="0"/>
          <c:showLeaderLines val="1"/>
        </c:dLbls>
        <c:firstSliceAng val="270"/>
        <c:holeSize val="8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5">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75000"/>
            <a:lumOff val="25000"/>
          </a:schemeClr>
        </a:solidFill>
      </a:ln>
    </cs:spPr>
  </cs:downBar>
  <cs:dropLine>
    <cs:lnRef idx="0"/>
    <cs:fillRef idx="0"/>
    <cs:effectRef idx="0"/>
    <cs:fontRef idx="minor">
      <a:schemeClr val="dk1"/>
    </cs:fontRef>
    <cs:spPr>
      <a:ln w="9525">
        <a:solidFill>
          <a:schemeClr val="tx1">
            <a:lumMod val="75000"/>
            <a:lumOff val="25000"/>
          </a:schemeClr>
        </a:solidFill>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75000"/>
            <a:lumOff val="2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image" Target="../media/image9.svg"/><Relationship Id="rId13" Type="http://schemas.openxmlformats.org/officeDocument/2006/relationships/chart" Target="../charts/chart5.xml"/><Relationship Id="rId18" Type="http://schemas.openxmlformats.org/officeDocument/2006/relationships/chart" Target="../charts/chart6.xml"/><Relationship Id="rId26" Type="http://schemas.openxmlformats.org/officeDocument/2006/relationships/image" Target="../media/image14.png"/><Relationship Id="rId3" Type="http://schemas.openxmlformats.org/officeDocument/2006/relationships/image" Target="../media/image4.png"/><Relationship Id="rId21" Type="http://schemas.openxmlformats.org/officeDocument/2006/relationships/chart" Target="../charts/chart9.xml"/><Relationship Id="rId7" Type="http://schemas.openxmlformats.org/officeDocument/2006/relationships/image" Target="../media/image8.png"/><Relationship Id="rId12" Type="http://schemas.openxmlformats.org/officeDocument/2006/relationships/chart" Target="../charts/chart4.xml"/><Relationship Id="rId17" Type="http://schemas.openxmlformats.org/officeDocument/2006/relationships/image" Target="../media/image13.svg"/><Relationship Id="rId25" Type="http://schemas.openxmlformats.org/officeDocument/2006/relationships/chart" Target="../charts/chart13.xml"/><Relationship Id="rId2" Type="http://schemas.openxmlformats.org/officeDocument/2006/relationships/image" Target="../media/image3.svg"/><Relationship Id="rId16" Type="http://schemas.openxmlformats.org/officeDocument/2006/relationships/image" Target="../media/image12.png"/><Relationship Id="rId20" Type="http://schemas.openxmlformats.org/officeDocument/2006/relationships/chart" Target="../charts/chart8.xml"/><Relationship Id="rId1" Type="http://schemas.openxmlformats.org/officeDocument/2006/relationships/image" Target="../media/image2.png"/><Relationship Id="rId6" Type="http://schemas.openxmlformats.org/officeDocument/2006/relationships/image" Target="../media/image7.svg"/><Relationship Id="rId11" Type="http://schemas.openxmlformats.org/officeDocument/2006/relationships/chart" Target="../charts/chart3.xml"/><Relationship Id="rId24" Type="http://schemas.openxmlformats.org/officeDocument/2006/relationships/chart" Target="../charts/chart12.xml"/><Relationship Id="rId5" Type="http://schemas.openxmlformats.org/officeDocument/2006/relationships/image" Target="../media/image6.png"/><Relationship Id="rId15" Type="http://schemas.openxmlformats.org/officeDocument/2006/relationships/image" Target="../media/image11.svg"/><Relationship Id="rId23" Type="http://schemas.openxmlformats.org/officeDocument/2006/relationships/chart" Target="../charts/chart11.xml"/><Relationship Id="rId10" Type="http://schemas.openxmlformats.org/officeDocument/2006/relationships/chart" Target="../charts/chart2.xml"/><Relationship Id="rId19" Type="http://schemas.openxmlformats.org/officeDocument/2006/relationships/chart" Target="../charts/chart7.xml"/><Relationship Id="rId4" Type="http://schemas.openxmlformats.org/officeDocument/2006/relationships/image" Target="../media/image5.svg"/><Relationship Id="rId9" Type="http://schemas.openxmlformats.org/officeDocument/2006/relationships/chart" Target="../charts/chart1.xml"/><Relationship Id="rId14" Type="http://schemas.openxmlformats.org/officeDocument/2006/relationships/image" Target="../media/image10.png"/><Relationship Id="rId22" Type="http://schemas.openxmlformats.org/officeDocument/2006/relationships/chart" Target="../charts/chart10.xml"/><Relationship Id="rId27" Type="http://schemas.openxmlformats.org/officeDocument/2006/relationships/image" Target="../media/image15.svg"/></Relationships>
</file>

<file path=xl/drawings/drawing1.xml><?xml version="1.0" encoding="utf-8"?>
<xdr:wsDr xmlns:xdr="http://schemas.openxmlformats.org/drawingml/2006/spreadsheetDrawing" xmlns:a="http://schemas.openxmlformats.org/drawingml/2006/main">
  <xdr:oneCellAnchor>
    <xdr:from>
      <xdr:col>14</xdr:col>
      <xdr:colOff>242047</xdr:colOff>
      <xdr:row>14</xdr:row>
      <xdr:rowOff>26894</xdr:rowOff>
    </xdr:from>
    <xdr:ext cx="184731" cy="264560"/>
    <xdr:sp macro="" textlink="">
      <xdr:nvSpPr>
        <xdr:cNvPr id="8" name="TextBox 7">
          <a:extLst>
            <a:ext uri="{FF2B5EF4-FFF2-40B4-BE49-F238E27FC236}">
              <a16:creationId xmlns:a16="http://schemas.microsoft.com/office/drawing/2014/main" id="{0C473110-7707-942C-AD4A-516DA3E78196}"/>
            </a:ext>
          </a:extLst>
        </xdr:cNvPr>
        <xdr:cNvSpPr txBox="1"/>
      </xdr:nvSpPr>
      <xdr:spPr>
        <a:xfrm>
          <a:off x="10309412" y="25370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0</xdr:col>
      <xdr:colOff>29008</xdr:colOff>
      <xdr:row>0</xdr:row>
      <xdr:rowOff>9525</xdr:rowOff>
    </xdr:from>
    <xdr:to>
      <xdr:col>28</xdr:col>
      <xdr:colOff>62753</xdr:colOff>
      <xdr:row>31</xdr:row>
      <xdr:rowOff>155986</xdr:rowOff>
    </xdr:to>
    <xdr:grpSp>
      <xdr:nvGrpSpPr>
        <xdr:cNvPr id="43" name="dashboard_theme_1">
          <a:extLst>
            <a:ext uri="{FF2B5EF4-FFF2-40B4-BE49-F238E27FC236}">
              <a16:creationId xmlns:a16="http://schemas.microsoft.com/office/drawing/2014/main" id="{4CCACE86-C2E8-E436-B3CA-2621E75717CE}"/>
            </a:ext>
          </a:extLst>
        </xdr:cNvPr>
        <xdr:cNvGrpSpPr/>
      </xdr:nvGrpSpPr>
      <xdr:grpSpPr>
        <a:xfrm>
          <a:off x="29008" y="9525"/>
          <a:ext cx="17102545" cy="5704579"/>
          <a:chOff x="29008" y="9525"/>
          <a:chExt cx="17102545" cy="5704579"/>
        </a:xfrm>
      </xdr:grpSpPr>
      <xdr:sp macro="" textlink="">
        <xdr:nvSpPr>
          <xdr:cNvPr id="2" name="dashboard_tiles_theme_1">
            <a:extLst>
              <a:ext uri="{FF2B5EF4-FFF2-40B4-BE49-F238E27FC236}">
                <a16:creationId xmlns:a16="http://schemas.microsoft.com/office/drawing/2014/main" id="{55638DF6-BA9A-48BE-8D5B-340452FD24A6}"/>
              </a:ext>
            </a:extLst>
          </xdr:cNvPr>
          <xdr:cNvSpPr/>
        </xdr:nvSpPr>
        <xdr:spPr>
          <a:xfrm>
            <a:off x="3247465" y="896472"/>
            <a:ext cx="13303623" cy="4817632"/>
          </a:xfrm>
          <a:custGeom>
            <a:avLst/>
            <a:gdLst>
              <a:gd name="connsiteX0" fmla="*/ 0 w 11840547"/>
              <a:gd name="connsiteY0" fmla="*/ 2754345 h 5411853"/>
              <a:gd name="connsiteX1" fmla="*/ 6890852 w 11840547"/>
              <a:gd name="connsiteY1" fmla="*/ 2754345 h 5411853"/>
              <a:gd name="connsiteX2" fmla="*/ 6890852 w 11840547"/>
              <a:gd name="connsiteY2" fmla="*/ 5411853 h 5411853"/>
              <a:gd name="connsiteX3" fmla="*/ 0 w 11840547"/>
              <a:gd name="connsiteY3" fmla="*/ 5411853 h 5411853"/>
              <a:gd name="connsiteX4" fmla="*/ 9615002 w 11840547"/>
              <a:gd name="connsiteY4" fmla="*/ 0 h 5411853"/>
              <a:gd name="connsiteX5" fmla="*/ 11840547 w 11840547"/>
              <a:gd name="connsiteY5" fmla="*/ 0 h 5411853"/>
              <a:gd name="connsiteX6" fmla="*/ 11840547 w 11840547"/>
              <a:gd name="connsiteY6" fmla="*/ 5411853 h 5411853"/>
              <a:gd name="connsiteX7" fmla="*/ 9615002 w 11840547"/>
              <a:gd name="connsiteY7" fmla="*/ 5411853 h 5411853"/>
              <a:gd name="connsiteX8" fmla="*/ 7052777 w 11840547"/>
              <a:gd name="connsiteY8" fmla="*/ 0 h 5411853"/>
              <a:gd name="connsiteX9" fmla="*/ 9453077 w 11840547"/>
              <a:gd name="connsiteY9" fmla="*/ 0 h 5411853"/>
              <a:gd name="connsiteX10" fmla="*/ 9453077 w 11840547"/>
              <a:gd name="connsiteY10" fmla="*/ 5411853 h 5411853"/>
              <a:gd name="connsiteX11" fmla="*/ 7052777 w 11840547"/>
              <a:gd name="connsiteY11" fmla="*/ 5411853 h 5411853"/>
              <a:gd name="connsiteX12" fmla="*/ 0 w 11840547"/>
              <a:gd name="connsiteY12" fmla="*/ 0 h 5411853"/>
              <a:gd name="connsiteX13" fmla="*/ 6890852 w 11840547"/>
              <a:gd name="connsiteY13" fmla="*/ 0 h 5411853"/>
              <a:gd name="connsiteX14" fmla="*/ 6890852 w 11840547"/>
              <a:gd name="connsiteY14" fmla="*/ 2592420 h 5411853"/>
              <a:gd name="connsiteX15" fmla="*/ 0 w 11840547"/>
              <a:gd name="connsiteY15" fmla="*/ 2592420 h 541185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1840547" h="5411853">
                <a:moveTo>
                  <a:pt x="0" y="2754345"/>
                </a:moveTo>
                <a:lnTo>
                  <a:pt x="6890852" y="2754345"/>
                </a:lnTo>
                <a:lnTo>
                  <a:pt x="6890852" y="5411853"/>
                </a:lnTo>
                <a:lnTo>
                  <a:pt x="0" y="5411853"/>
                </a:lnTo>
                <a:close/>
                <a:moveTo>
                  <a:pt x="9615002" y="0"/>
                </a:moveTo>
                <a:lnTo>
                  <a:pt x="11840547" y="0"/>
                </a:lnTo>
                <a:lnTo>
                  <a:pt x="11840547" y="5411853"/>
                </a:lnTo>
                <a:lnTo>
                  <a:pt x="9615002" y="5411853"/>
                </a:lnTo>
                <a:close/>
                <a:moveTo>
                  <a:pt x="7052777" y="0"/>
                </a:moveTo>
                <a:lnTo>
                  <a:pt x="9453077" y="0"/>
                </a:lnTo>
                <a:lnTo>
                  <a:pt x="9453077" y="5411853"/>
                </a:lnTo>
                <a:lnTo>
                  <a:pt x="7052777" y="5411853"/>
                </a:lnTo>
                <a:close/>
                <a:moveTo>
                  <a:pt x="0" y="0"/>
                </a:moveTo>
                <a:lnTo>
                  <a:pt x="6890852" y="0"/>
                </a:lnTo>
                <a:lnTo>
                  <a:pt x="6890852" y="2592420"/>
                </a:lnTo>
                <a:lnTo>
                  <a:pt x="0" y="2592420"/>
                </a:lnTo>
                <a:close/>
              </a:path>
            </a:pathLst>
          </a:custGeom>
          <a:gradFill>
            <a:gsLst>
              <a:gs pos="100000">
                <a:schemeClr val="bg1">
                  <a:lumMod val="75000"/>
                  <a:alpha val="80000"/>
                </a:schemeClr>
              </a:gs>
              <a:gs pos="0">
                <a:schemeClr val="tx1">
                  <a:alpha val="80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D"/>
          </a:p>
        </xdr:txBody>
      </xdr:sp>
      <xdr:sp macro="" textlink="">
        <xdr:nvSpPr>
          <xdr:cNvPr id="3" name="dashboard_header_theme_1">
            <a:extLst>
              <a:ext uri="{FF2B5EF4-FFF2-40B4-BE49-F238E27FC236}">
                <a16:creationId xmlns:a16="http://schemas.microsoft.com/office/drawing/2014/main" id="{FDD96BEE-C2EE-47A8-BE77-692DBA7457E8}"/>
              </a:ext>
            </a:extLst>
          </xdr:cNvPr>
          <xdr:cNvSpPr/>
        </xdr:nvSpPr>
        <xdr:spPr>
          <a:xfrm>
            <a:off x="29008" y="9525"/>
            <a:ext cx="17102545" cy="736226"/>
          </a:xfrm>
          <a:prstGeom prst="rect">
            <a:avLst/>
          </a:prstGeom>
          <a:gradFill>
            <a:gsLst>
              <a:gs pos="100000">
                <a:schemeClr val="bg1">
                  <a:lumMod val="75000"/>
                  <a:alpha val="80000"/>
                </a:schemeClr>
              </a:gs>
              <a:gs pos="0">
                <a:schemeClr val="tx1">
                  <a:alpha val="80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ID" sz="4800"/>
          </a:p>
        </xdr:txBody>
      </xdr:sp>
    </xdr:grpSp>
    <xdr:clientData/>
  </xdr:twoCellAnchor>
  <xdr:twoCellAnchor>
    <xdr:from>
      <xdr:col>0</xdr:col>
      <xdr:colOff>0</xdr:colOff>
      <xdr:row>0</xdr:row>
      <xdr:rowOff>0</xdr:rowOff>
    </xdr:from>
    <xdr:to>
      <xdr:col>28</xdr:col>
      <xdr:colOff>33745</xdr:colOff>
      <xdr:row>31</xdr:row>
      <xdr:rowOff>146461</xdr:rowOff>
    </xdr:to>
    <xdr:grpSp>
      <xdr:nvGrpSpPr>
        <xdr:cNvPr id="44" name="dashboard_theme_2" hidden="1">
          <a:extLst>
            <a:ext uri="{FF2B5EF4-FFF2-40B4-BE49-F238E27FC236}">
              <a16:creationId xmlns:a16="http://schemas.microsoft.com/office/drawing/2014/main" id="{1B074635-EE80-42D3-AA0A-5CD11F0D9018}"/>
            </a:ext>
          </a:extLst>
        </xdr:cNvPr>
        <xdr:cNvGrpSpPr/>
      </xdr:nvGrpSpPr>
      <xdr:grpSpPr>
        <a:xfrm>
          <a:off x="0" y="0"/>
          <a:ext cx="17102545" cy="5704579"/>
          <a:chOff x="29008" y="9525"/>
          <a:chExt cx="17102545" cy="5704579"/>
        </a:xfrm>
      </xdr:grpSpPr>
      <xdr:sp macro="" textlink="">
        <xdr:nvSpPr>
          <xdr:cNvPr id="45" name="dashboard_tiles_theme_2" hidden="1">
            <a:extLst>
              <a:ext uri="{FF2B5EF4-FFF2-40B4-BE49-F238E27FC236}">
                <a16:creationId xmlns:a16="http://schemas.microsoft.com/office/drawing/2014/main" id="{D764B317-2C56-4704-8E37-3E2DF079D1D5}"/>
              </a:ext>
            </a:extLst>
          </xdr:cNvPr>
          <xdr:cNvSpPr/>
        </xdr:nvSpPr>
        <xdr:spPr>
          <a:xfrm>
            <a:off x="3247465" y="896472"/>
            <a:ext cx="13303623" cy="4817632"/>
          </a:xfrm>
          <a:custGeom>
            <a:avLst/>
            <a:gdLst>
              <a:gd name="connsiteX0" fmla="*/ 0 w 11840547"/>
              <a:gd name="connsiteY0" fmla="*/ 2754345 h 5411853"/>
              <a:gd name="connsiteX1" fmla="*/ 6890852 w 11840547"/>
              <a:gd name="connsiteY1" fmla="*/ 2754345 h 5411853"/>
              <a:gd name="connsiteX2" fmla="*/ 6890852 w 11840547"/>
              <a:gd name="connsiteY2" fmla="*/ 5411853 h 5411853"/>
              <a:gd name="connsiteX3" fmla="*/ 0 w 11840547"/>
              <a:gd name="connsiteY3" fmla="*/ 5411853 h 5411853"/>
              <a:gd name="connsiteX4" fmla="*/ 9615002 w 11840547"/>
              <a:gd name="connsiteY4" fmla="*/ 0 h 5411853"/>
              <a:gd name="connsiteX5" fmla="*/ 11840547 w 11840547"/>
              <a:gd name="connsiteY5" fmla="*/ 0 h 5411853"/>
              <a:gd name="connsiteX6" fmla="*/ 11840547 w 11840547"/>
              <a:gd name="connsiteY6" fmla="*/ 5411853 h 5411853"/>
              <a:gd name="connsiteX7" fmla="*/ 9615002 w 11840547"/>
              <a:gd name="connsiteY7" fmla="*/ 5411853 h 5411853"/>
              <a:gd name="connsiteX8" fmla="*/ 7052777 w 11840547"/>
              <a:gd name="connsiteY8" fmla="*/ 0 h 5411853"/>
              <a:gd name="connsiteX9" fmla="*/ 9453077 w 11840547"/>
              <a:gd name="connsiteY9" fmla="*/ 0 h 5411853"/>
              <a:gd name="connsiteX10" fmla="*/ 9453077 w 11840547"/>
              <a:gd name="connsiteY10" fmla="*/ 5411853 h 5411853"/>
              <a:gd name="connsiteX11" fmla="*/ 7052777 w 11840547"/>
              <a:gd name="connsiteY11" fmla="*/ 5411853 h 5411853"/>
              <a:gd name="connsiteX12" fmla="*/ 0 w 11840547"/>
              <a:gd name="connsiteY12" fmla="*/ 0 h 5411853"/>
              <a:gd name="connsiteX13" fmla="*/ 6890852 w 11840547"/>
              <a:gd name="connsiteY13" fmla="*/ 0 h 5411853"/>
              <a:gd name="connsiteX14" fmla="*/ 6890852 w 11840547"/>
              <a:gd name="connsiteY14" fmla="*/ 2592420 h 5411853"/>
              <a:gd name="connsiteX15" fmla="*/ 0 w 11840547"/>
              <a:gd name="connsiteY15" fmla="*/ 2592420 h 541185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1840547" h="5411853">
                <a:moveTo>
                  <a:pt x="0" y="2754345"/>
                </a:moveTo>
                <a:lnTo>
                  <a:pt x="6890852" y="2754345"/>
                </a:lnTo>
                <a:lnTo>
                  <a:pt x="6890852" y="5411853"/>
                </a:lnTo>
                <a:lnTo>
                  <a:pt x="0" y="5411853"/>
                </a:lnTo>
                <a:close/>
                <a:moveTo>
                  <a:pt x="9615002" y="0"/>
                </a:moveTo>
                <a:lnTo>
                  <a:pt x="11840547" y="0"/>
                </a:lnTo>
                <a:lnTo>
                  <a:pt x="11840547" y="5411853"/>
                </a:lnTo>
                <a:lnTo>
                  <a:pt x="9615002" y="5411853"/>
                </a:lnTo>
                <a:close/>
                <a:moveTo>
                  <a:pt x="7052777" y="0"/>
                </a:moveTo>
                <a:lnTo>
                  <a:pt x="9453077" y="0"/>
                </a:lnTo>
                <a:lnTo>
                  <a:pt x="9453077" y="5411853"/>
                </a:lnTo>
                <a:lnTo>
                  <a:pt x="7052777" y="5411853"/>
                </a:lnTo>
                <a:close/>
                <a:moveTo>
                  <a:pt x="0" y="0"/>
                </a:moveTo>
                <a:lnTo>
                  <a:pt x="6890852" y="0"/>
                </a:lnTo>
                <a:lnTo>
                  <a:pt x="6890852" y="2592420"/>
                </a:lnTo>
                <a:lnTo>
                  <a:pt x="0" y="2592420"/>
                </a:lnTo>
                <a:close/>
              </a:path>
            </a:pathLst>
          </a:custGeom>
          <a:gradFill>
            <a:gsLst>
              <a:gs pos="100000">
                <a:schemeClr val="accent1">
                  <a:lumMod val="75000"/>
                </a:schemeClr>
              </a:gs>
              <a:gs pos="0">
                <a:schemeClr val="bg1">
                  <a:lumMod val="50000"/>
                </a:schemeClr>
              </a:gs>
            </a:gsLst>
            <a:lin ang="27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D"/>
          </a:p>
        </xdr:txBody>
      </xdr:sp>
      <xdr:sp macro="" textlink="">
        <xdr:nvSpPr>
          <xdr:cNvPr id="46" name="dashboard_header_theme_2" hidden="1">
            <a:extLst>
              <a:ext uri="{FF2B5EF4-FFF2-40B4-BE49-F238E27FC236}">
                <a16:creationId xmlns:a16="http://schemas.microsoft.com/office/drawing/2014/main" id="{21587903-964B-691C-049A-9E35A4E86B7F}"/>
              </a:ext>
            </a:extLst>
          </xdr:cNvPr>
          <xdr:cNvSpPr/>
        </xdr:nvSpPr>
        <xdr:spPr>
          <a:xfrm>
            <a:off x="29008" y="9525"/>
            <a:ext cx="17102545" cy="736226"/>
          </a:xfrm>
          <a:prstGeom prst="rect">
            <a:avLst/>
          </a:prstGeom>
          <a:gradFill>
            <a:gsLst>
              <a:gs pos="100000">
                <a:schemeClr val="accent1">
                  <a:lumMod val="75000"/>
                </a:schemeClr>
              </a:gs>
              <a:gs pos="0">
                <a:schemeClr val="bg1">
                  <a:lumMod val="50000"/>
                </a:schemeClr>
              </a:gs>
            </a:gsLst>
            <a:lin ang="27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ID" sz="4800"/>
          </a:p>
        </xdr:txBody>
      </xdr:sp>
    </xdr:grpSp>
    <xdr:clientData/>
  </xdr:twoCellAnchor>
  <xdr:twoCellAnchor>
    <xdr:from>
      <xdr:col>0</xdr:col>
      <xdr:colOff>0</xdr:colOff>
      <xdr:row>0</xdr:row>
      <xdr:rowOff>0</xdr:rowOff>
    </xdr:from>
    <xdr:to>
      <xdr:col>28</xdr:col>
      <xdr:colOff>33745</xdr:colOff>
      <xdr:row>31</xdr:row>
      <xdr:rowOff>146461</xdr:rowOff>
    </xdr:to>
    <xdr:grpSp>
      <xdr:nvGrpSpPr>
        <xdr:cNvPr id="79" name="dashboard_theme_3" hidden="1">
          <a:extLst>
            <a:ext uri="{FF2B5EF4-FFF2-40B4-BE49-F238E27FC236}">
              <a16:creationId xmlns:a16="http://schemas.microsoft.com/office/drawing/2014/main" id="{BB5DF91A-AE9C-4831-99D3-2ED765325328}"/>
            </a:ext>
          </a:extLst>
        </xdr:cNvPr>
        <xdr:cNvGrpSpPr/>
      </xdr:nvGrpSpPr>
      <xdr:grpSpPr>
        <a:xfrm>
          <a:off x="0" y="0"/>
          <a:ext cx="17102545" cy="5704579"/>
          <a:chOff x="29008" y="9525"/>
          <a:chExt cx="17102545" cy="5704579"/>
        </a:xfrm>
      </xdr:grpSpPr>
      <xdr:sp macro="" textlink="">
        <xdr:nvSpPr>
          <xdr:cNvPr id="80" name="dashboard_tiles_theme_3" hidden="1">
            <a:extLst>
              <a:ext uri="{FF2B5EF4-FFF2-40B4-BE49-F238E27FC236}">
                <a16:creationId xmlns:a16="http://schemas.microsoft.com/office/drawing/2014/main" id="{CF7B0C5A-AF20-4365-AC61-9778903F2DF2}"/>
              </a:ext>
            </a:extLst>
          </xdr:cNvPr>
          <xdr:cNvSpPr/>
        </xdr:nvSpPr>
        <xdr:spPr>
          <a:xfrm>
            <a:off x="3247465" y="896472"/>
            <a:ext cx="13303623" cy="4817632"/>
          </a:xfrm>
          <a:custGeom>
            <a:avLst/>
            <a:gdLst>
              <a:gd name="connsiteX0" fmla="*/ 0 w 11840547"/>
              <a:gd name="connsiteY0" fmla="*/ 2754345 h 5411853"/>
              <a:gd name="connsiteX1" fmla="*/ 6890852 w 11840547"/>
              <a:gd name="connsiteY1" fmla="*/ 2754345 h 5411853"/>
              <a:gd name="connsiteX2" fmla="*/ 6890852 w 11840547"/>
              <a:gd name="connsiteY2" fmla="*/ 5411853 h 5411853"/>
              <a:gd name="connsiteX3" fmla="*/ 0 w 11840547"/>
              <a:gd name="connsiteY3" fmla="*/ 5411853 h 5411853"/>
              <a:gd name="connsiteX4" fmla="*/ 9615002 w 11840547"/>
              <a:gd name="connsiteY4" fmla="*/ 0 h 5411853"/>
              <a:gd name="connsiteX5" fmla="*/ 11840547 w 11840547"/>
              <a:gd name="connsiteY5" fmla="*/ 0 h 5411853"/>
              <a:gd name="connsiteX6" fmla="*/ 11840547 w 11840547"/>
              <a:gd name="connsiteY6" fmla="*/ 5411853 h 5411853"/>
              <a:gd name="connsiteX7" fmla="*/ 9615002 w 11840547"/>
              <a:gd name="connsiteY7" fmla="*/ 5411853 h 5411853"/>
              <a:gd name="connsiteX8" fmla="*/ 7052777 w 11840547"/>
              <a:gd name="connsiteY8" fmla="*/ 0 h 5411853"/>
              <a:gd name="connsiteX9" fmla="*/ 9453077 w 11840547"/>
              <a:gd name="connsiteY9" fmla="*/ 0 h 5411853"/>
              <a:gd name="connsiteX10" fmla="*/ 9453077 w 11840547"/>
              <a:gd name="connsiteY10" fmla="*/ 5411853 h 5411853"/>
              <a:gd name="connsiteX11" fmla="*/ 7052777 w 11840547"/>
              <a:gd name="connsiteY11" fmla="*/ 5411853 h 5411853"/>
              <a:gd name="connsiteX12" fmla="*/ 0 w 11840547"/>
              <a:gd name="connsiteY12" fmla="*/ 0 h 5411853"/>
              <a:gd name="connsiteX13" fmla="*/ 6890852 w 11840547"/>
              <a:gd name="connsiteY13" fmla="*/ 0 h 5411853"/>
              <a:gd name="connsiteX14" fmla="*/ 6890852 w 11840547"/>
              <a:gd name="connsiteY14" fmla="*/ 2592420 h 5411853"/>
              <a:gd name="connsiteX15" fmla="*/ 0 w 11840547"/>
              <a:gd name="connsiteY15" fmla="*/ 2592420 h 541185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1840547" h="5411853">
                <a:moveTo>
                  <a:pt x="0" y="2754345"/>
                </a:moveTo>
                <a:lnTo>
                  <a:pt x="6890852" y="2754345"/>
                </a:lnTo>
                <a:lnTo>
                  <a:pt x="6890852" y="5411853"/>
                </a:lnTo>
                <a:lnTo>
                  <a:pt x="0" y="5411853"/>
                </a:lnTo>
                <a:close/>
                <a:moveTo>
                  <a:pt x="9615002" y="0"/>
                </a:moveTo>
                <a:lnTo>
                  <a:pt x="11840547" y="0"/>
                </a:lnTo>
                <a:lnTo>
                  <a:pt x="11840547" y="5411853"/>
                </a:lnTo>
                <a:lnTo>
                  <a:pt x="9615002" y="5411853"/>
                </a:lnTo>
                <a:close/>
                <a:moveTo>
                  <a:pt x="7052777" y="0"/>
                </a:moveTo>
                <a:lnTo>
                  <a:pt x="9453077" y="0"/>
                </a:lnTo>
                <a:lnTo>
                  <a:pt x="9453077" y="5411853"/>
                </a:lnTo>
                <a:lnTo>
                  <a:pt x="7052777" y="5411853"/>
                </a:lnTo>
                <a:close/>
                <a:moveTo>
                  <a:pt x="0" y="0"/>
                </a:moveTo>
                <a:lnTo>
                  <a:pt x="6890852" y="0"/>
                </a:lnTo>
                <a:lnTo>
                  <a:pt x="6890852" y="2592420"/>
                </a:lnTo>
                <a:lnTo>
                  <a:pt x="0" y="2592420"/>
                </a:lnTo>
                <a:close/>
              </a:path>
            </a:pathLst>
          </a:custGeom>
          <a:gradFill flip="none" rotWithShape="1">
            <a:gsLst>
              <a:gs pos="100000">
                <a:srgbClr val="002060"/>
              </a:gs>
              <a:gs pos="0">
                <a:schemeClr val="bg1">
                  <a:lumMod val="50000"/>
                </a:schemeClr>
              </a:gs>
            </a:gsLst>
            <a:path path="rect">
              <a:fillToRect l="100000" t="100000"/>
            </a:path>
            <a:tileRect r="-100000" b="-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D"/>
          </a:p>
        </xdr:txBody>
      </xdr:sp>
      <xdr:sp macro="" textlink="">
        <xdr:nvSpPr>
          <xdr:cNvPr id="81" name="dashboard_header_theme_3" hidden="1">
            <a:extLst>
              <a:ext uri="{FF2B5EF4-FFF2-40B4-BE49-F238E27FC236}">
                <a16:creationId xmlns:a16="http://schemas.microsoft.com/office/drawing/2014/main" id="{6530450F-14AD-95D6-9AAD-09EF93D15385}"/>
              </a:ext>
            </a:extLst>
          </xdr:cNvPr>
          <xdr:cNvSpPr/>
        </xdr:nvSpPr>
        <xdr:spPr>
          <a:xfrm>
            <a:off x="29008" y="9525"/>
            <a:ext cx="17102545" cy="736226"/>
          </a:xfrm>
          <a:prstGeom prst="rect">
            <a:avLst/>
          </a:prstGeom>
          <a:gradFill flip="none" rotWithShape="1">
            <a:gsLst>
              <a:gs pos="100000">
                <a:srgbClr val="002060"/>
              </a:gs>
              <a:gs pos="0">
                <a:schemeClr val="bg1">
                  <a:lumMod val="50000"/>
                </a:schemeClr>
              </a:gs>
            </a:gsLst>
            <a:path path="rect">
              <a:fillToRect l="100000" t="100000"/>
            </a:path>
            <a:tileRect r="-100000" b="-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ID" sz="4800"/>
          </a:p>
        </xdr:txBody>
      </xdr:sp>
    </xdr:grpSp>
    <xdr:clientData/>
  </xdr:twoCellAnchor>
  <xdr:twoCellAnchor>
    <xdr:from>
      <xdr:col>0</xdr:col>
      <xdr:colOff>0</xdr:colOff>
      <xdr:row>0</xdr:row>
      <xdr:rowOff>0</xdr:rowOff>
    </xdr:from>
    <xdr:to>
      <xdr:col>28</xdr:col>
      <xdr:colOff>33745</xdr:colOff>
      <xdr:row>31</xdr:row>
      <xdr:rowOff>146461</xdr:rowOff>
    </xdr:to>
    <xdr:grpSp>
      <xdr:nvGrpSpPr>
        <xdr:cNvPr id="82" name="dashboard_theme_4" hidden="1">
          <a:extLst>
            <a:ext uri="{FF2B5EF4-FFF2-40B4-BE49-F238E27FC236}">
              <a16:creationId xmlns:a16="http://schemas.microsoft.com/office/drawing/2014/main" id="{B45E511E-9643-48D4-9C7D-B2725D62F2A5}"/>
            </a:ext>
          </a:extLst>
        </xdr:cNvPr>
        <xdr:cNvGrpSpPr/>
      </xdr:nvGrpSpPr>
      <xdr:grpSpPr>
        <a:xfrm>
          <a:off x="0" y="0"/>
          <a:ext cx="17102545" cy="5704579"/>
          <a:chOff x="29008" y="9525"/>
          <a:chExt cx="17102545" cy="5704579"/>
        </a:xfrm>
      </xdr:grpSpPr>
      <xdr:sp macro="" textlink="">
        <xdr:nvSpPr>
          <xdr:cNvPr id="83" name="dashboard_tiles_theme_4" hidden="1">
            <a:extLst>
              <a:ext uri="{FF2B5EF4-FFF2-40B4-BE49-F238E27FC236}">
                <a16:creationId xmlns:a16="http://schemas.microsoft.com/office/drawing/2014/main" id="{E5C9406A-C24F-23F8-212C-3579D505B7C6}"/>
              </a:ext>
            </a:extLst>
          </xdr:cNvPr>
          <xdr:cNvSpPr/>
        </xdr:nvSpPr>
        <xdr:spPr>
          <a:xfrm>
            <a:off x="3247465" y="896472"/>
            <a:ext cx="13303623" cy="4817632"/>
          </a:xfrm>
          <a:custGeom>
            <a:avLst/>
            <a:gdLst>
              <a:gd name="connsiteX0" fmla="*/ 0 w 11840547"/>
              <a:gd name="connsiteY0" fmla="*/ 2754345 h 5411853"/>
              <a:gd name="connsiteX1" fmla="*/ 6890852 w 11840547"/>
              <a:gd name="connsiteY1" fmla="*/ 2754345 h 5411853"/>
              <a:gd name="connsiteX2" fmla="*/ 6890852 w 11840547"/>
              <a:gd name="connsiteY2" fmla="*/ 5411853 h 5411853"/>
              <a:gd name="connsiteX3" fmla="*/ 0 w 11840547"/>
              <a:gd name="connsiteY3" fmla="*/ 5411853 h 5411853"/>
              <a:gd name="connsiteX4" fmla="*/ 9615002 w 11840547"/>
              <a:gd name="connsiteY4" fmla="*/ 0 h 5411853"/>
              <a:gd name="connsiteX5" fmla="*/ 11840547 w 11840547"/>
              <a:gd name="connsiteY5" fmla="*/ 0 h 5411853"/>
              <a:gd name="connsiteX6" fmla="*/ 11840547 w 11840547"/>
              <a:gd name="connsiteY6" fmla="*/ 5411853 h 5411853"/>
              <a:gd name="connsiteX7" fmla="*/ 9615002 w 11840547"/>
              <a:gd name="connsiteY7" fmla="*/ 5411853 h 5411853"/>
              <a:gd name="connsiteX8" fmla="*/ 7052777 w 11840547"/>
              <a:gd name="connsiteY8" fmla="*/ 0 h 5411853"/>
              <a:gd name="connsiteX9" fmla="*/ 9453077 w 11840547"/>
              <a:gd name="connsiteY9" fmla="*/ 0 h 5411853"/>
              <a:gd name="connsiteX10" fmla="*/ 9453077 w 11840547"/>
              <a:gd name="connsiteY10" fmla="*/ 5411853 h 5411853"/>
              <a:gd name="connsiteX11" fmla="*/ 7052777 w 11840547"/>
              <a:gd name="connsiteY11" fmla="*/ 5411853 h 5411853"/>
              <a:gd name="connsiteX12" fmla="*/ 0 w 11840547"/>
              <a:gd name="connsiteY12" fmla="*/ 0 h 5411853"/>
              <a:gd name="connsiteX13" fmla="*/ 6890852 w 11840547"/>
              <a:gd name="connsiteY13" fmla="*/ 0 h 5411853"/>
              <a:gd name="connsiteX14" fmla="*/ 6890852 w 11840547"/>
              <a:gd name="connsiteY14" fmla="*/ 2592420 h 5411853"/>
              <a:gd name="connsiteX15" fmla="*/ 0 w 11840547"/>
              <a:gd name="connsiteY15" fmla="*/ 2592420 h 541185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1840547" h="5411853">
                <a:moveTo>
                  <a:pt x="0" y="2754345"/>
                </a:moveTo>
                <a:lnTo>
                  <a:pt x="6890852" y="2754345"/>
                </a:lnTo>
                <a:lnTo>
                  <a:pt x="6890852" y="5411853"/>
                </a:lnTo>
                <a:lnTo>
                  <a:pt x="0" y="5411853"/>
                </a:lnTo>
                <a:close/>
                <a:moveTo>
                  <a:pt x="9615002" y="0"/>
                </a:moveTo>
                <a:lnTo>
                  <a:pt x="11840547" y="0"/>
                </a:lnTo>
                <a:lnTo>
                  <a:pt x="11840547" y="5411853"/>
                </a:lnTo>
                <a:lnTo>
                  <a:pt x="9615002" y="5411853"/>
                </a:lnTo>
                <a:close/>
                <a:moveTo>
                  <a:pt x="7052777" y="0"/>
                </a:moveTo>
                <a:lnTo>
                  <a:pt x="9453077" y="0"/>
                </a:lnTo>
                <a:lnTo>
                  <a:pt x="9453077" y="5411853"/>
                </a:lnTo>
                <a:lnTo>
                  <a:pt x="7052777" y="5411853"/>
                </a:lnTo>
                <a:close/>
                <a:moveTo>
                  <a:pt x="0" y="0"/>
                </a:moveTo>
                <a:lnTo>
                  <a:pt x="6890852" y="0"/>
                </a:lnTo>
                <a:lnTo>
                  <a:pt x="6890852" y="2592420"/>
                </a:lnTo>
                <a:lnTo>
                  <a:pt x="0" y="2592420"/>
                </a:lnTo>
                <a:close/>
              </a:path>
            </a:pathLst>
          </a:custGeom>
          <a:gradFill flip="none" rotWithShape="1">
            <a:gsLst>
              <a:gs pos="100000">
                <a:schemeClr val="accent2">
                  <a:lumMod val="50000"/>
                </a:schemeClr>
              </a:gs>
              <a:gs pos="0">
                <a:schemeClr val="bg1">
                  <a:lumMod val="50000"/>
                </a:schemeClr>
              </a:gs>
            </a:gsLst>
            <a:path path="shape">
              <a:fillToRect l="50000" t="50000" r="50000" b="50000"/>
            </a:path>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D"/>
          </a:p>
        </xdr:txBody>
      </xdr:sp>
      <xdr:sp macro="" textlink="">
        <xdr:nvSpPr>
          <xdr:cNvPr id="84" name="dashboard_header_theme_4" hidden="1">
            <a:extLst>
              <a:ext uri="{FF2B5EF4-FFF2-40B4-BE49-F238E27FC236}">
                <a16:creationId xmlns:a16="http://schemas.microsoft.com/office/drawing/2014/main" id="{AF3068D2-D2E3-A579-F2B9-F9E7EE216D7B}"/>
              </a:ext>
            </a:extLst>
          </xdr:cNvPr>
          <xdr:cNvSpPr/>
        </xdr:nvSpPr>
        <xdr:spPr>
          <a:xfrm>
            <a:off x="29008" y="9525"/>
            <a:ext cx="17102545" cy="736226"/>
          </a:xfrm>
          <a:prstGeom prst="rect">
            <a:avLst/>
          </a:prstGeom>
          <a:gradFill flip="none" rotWithShape="1">
            <a:gsLst>
              <a:gs pos="100000">
                <a:schemeClr val="accent2">
                  <a:lumMod val="50000"/>
                </a:schemeClr>
              </a:gs>
              <a:gs pos="0">
                <a:schemeClr val="bg1">
                  <a:lumMod val="50000"/>
                </a:schemeClr>
              </a:gs>
            </a:gsLst>
            <a:path path="shape">
              <a:fillToRect l="50000" t="50000" r="50000" b="50000"/>
            </a:path>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ID" sz="4800"/>
          </a:p>
        </xdr:txBody>
      </xdr:sp>
    </xdr:grpSp>
    <xdr:clientData/>
  </xdr:twoCellAnchor>
  <xdr:twoCellAnchor>
    <xdr:from>
      <xdr:col>0</xdr:col>
      <xdr:colOff>177615</xdr:colOff>
      <xdr:row>4</xdr:row>
      <xdr:rowOff>152399</xdr:rowOff>
    </xdr:from>
    <xdr:to>
      <xdr:col>5</xdr:col>
      <xdr:colOff>53790</xdr:colOff>
      <xdr:row>31</xdr:row>
      <xdr:rowOff>50800</xdr:rowOff>
    </xdr:to>
    <xdr:sp macro="" textlink="">
      <xdr:nvSpPr>
        <xdr:cNvPr id="4" name="Rectangle 3">
          <a:extLst>
            <a:ext uri="{FF2B5EF4-FFF2-40B4-BE49-F238E27FC236}">
              <a16:creationId xmlns:a16="http://schemas.microsoft.com/office/drawing/2014/main" id="{43BDB504-7A4B-4A85-92FC-17F2F542B17C}"/>
            </a:ext>
          </a:extLst>
        </xdr:cNvPr>
        <xdr:cNvSpPr/>
      </xdr:nvSpPr>
      <xdr:spPr>
        <a:xfrm>
          <a:off x="177615" y="894521"/>
          <a:ext cx="2924175" cy="4907722"/>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oneCellAnchor>
    <xdr:from>
      <xdr:col>5</xdr:col>
      <xdr:colOff>59768</xdr:colOff>
      <xdr:row>0</xdr:row>
      <xdr:rowOff>8466</xdr:rowOff>
    </xdr:from>
    <xdr:ext cx="10685618" cy="781111"/>
    <xdr:sp macro="" textlink="">
      <xdr:nvSpPr>
        <xdr:cNvPr id="5" name="TextBox 4">
          <a:extLst>
            <a:ext uri="{FF2B5EF4-FFF2-40B4-BE49-F238E27FC236}">
              <a16:creationId xmlns:a16="http://schemas.microsoft.com/office/drawing/2014/main" id="{6A1F4B92-4D09-47C0-A952-0EFB668DA451}"/>
            </a:ext>
          </a:extLst>
        </xdr:cNvPr>
        <xdr:cNvSpPr txBox="1"/>
      </xdr:nvSpPr>
      <xdr:spPr>
        <a:xfrm>
          <a:off x="3107768" y="8466"/>
          <a:ext cx="10685618" cy="7811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ID" sz="4400">
              <a:solidFill>
                <a:schemeClr val="bg1"/>
              </a:solidFill>
              <a:effectLst/>
              <a:latin typeface="+mn-lt"/>
              <a:ea typeface="+mn-ea"/>
              <a:cs typeface="+mn-cs"/>
            </a:rPr>
            <a:t>PREMIER LEAGUE GOAL ANALYZE 2016 - 2018</a:t>
          </a:r>
          <a:endParaRPr lang="en-ID" sz="4400">
            <a:solidFill>
              <a:schemeClr val="bg1"/>
            </a:solidFill>
            <a:effectLst/>
          </a:endParaRPr>
        </a:p>
      </xdr:txBody>
    </xdr:sp>
    <xdr:clientData/>
  </xdr:oneCellAnchor>
  <xdr:twoCellAnchor>
    <xdr:from>
      <xdr:col>5</xdr:col>
      <xdr:colOff>262468</xdr:colOff>
      <xdr:row>5</xdr:row>
      <xdr:rowOff>67734</xdr:rowOff>
    </xdr:from>
    <xdr:to>
      <xdr:col>7</xdr:col>
      <xdr:colOff>515008</xdr:colOff>
      <xdr:row>6</xdr:row>
      <xdr:rowOff>152400</xdr:rowOff>
    </xdr:to>
    <xdr:sp macro="" textlink="">
      <xdr:nvSpPr>
        <xdr:cNvPr id="6" name="Rectangle: Rounded Corners 5">
          <a:extLst>
            <a:ext uri="{FF2B5EF4-FFF2-40B4-BE49-F238E27FC236}">
              <a16:creationId xmlns:a16="http://schemas.microsoft.com/office/drawing/2014/main" id="{9991D18F-CEBD-4BF0-BA31-53654EEA5C46}"/>
            </a:ext>
          </a:extLst>
        </xdr:cNvPr>
        <xdr:cNvSpPr/>
      </xdr:nvSpPr>
      <xdr:spPr>
        <a:xfrm>
          <a:off x="3310468" y="995386"/>
          <a:ext cx="1471740" cy="270197"/>
        </a:xfrm>
        <a:prstGeom prst="roundRect">
          <a:avLst>
            <a:gd name="adj" fmla="val 50000"/>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xdr:from>
      <xdr:col>5</xdr:col>
      <xdr:colOff>270933</xdr:colOff>
      <xdr:row>19</xdr:row>
      <xdr:rowOff>20427</xdr:rowOff>
    </xdr:from>
    <xdr:to>
      <xdr:col>7</xdr:col>
      <xdr:colOff>498231</xdr:colOff>
      <xdr:row>20</xdr:row>
      <xdr:rowOff>115055</xdr:rowOff>
    </xdr:to>
    <xdr:sp macro="" textlink="">
      <xdr:nvSpPr>
        <xdr:cNvPr id="7" name="Rectangle: Rounded Corners 6">
          <a:extLst>
            <a:ext uri="{FF2B5EF4-FFF2-40B4-BE49-F238E27FC236}">
              <a16:creationId xmlns:a16="http://schemas.microsoft.com/office/drawing/2014/main" id="{D1E9B3CA-5437-4A61-A121-D60AFCF6D518}"/>
            </a:ext>
          </a:extLst>
        </xdr:cNvPr>
        <xdr:cNvSpPr/>
      </xdr:nvSpPr>
      <xdr:spPr>
        <a:xfrm>
          <a:off x="3318933" y="3545505"/>
          <a:ext cx="1446498" cy="280159"/>
        </a:xfrm>
        <a:prstGeom prst="roundRect">
          <a:avLst>
            <a:gd name="adj" fmla="val 50000"/>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xdr:from>
      <xdr:col>18</xdr:col>
      <xdr:colOff>283397</xdr:colOff>
      <xdr:row>5</xdr:row>
      <xdr:rowOff>64750</xdr:rowOff>
    </xdr:from>
    <xdr:to>
      <xdr:col>20</xdr:col>
      <xdr:colOff>216197</xdr:colOff>
      <xdr:row>6</xdr:row>
      <xdr:rowOff>159378</xdr:rowOff>
    </xdr:to>
    <xdr:sp macro="" textlink="">
      <xdr:nvSpPr>
        <xdr:cNvPr id="8" name="Rectangle: Rounded Corners 7">
          <a:extLst>
            <a:ext uri="{FF2B5EF4-FFF2-40B4-BE49-F238E27FC236}">
              <a16:creationId xmlns:a16="http://schemas.microsoft.com/office/drawing/2014/main" id="{B37A8190-2A3C-4951-80C1-F7FFC55926D4}"/>
            </a:ext>
          </a:extLst>
        </xdr:cNvPr>
        <xdr:cNvSpPr/>
      </xdr:nvSpPr>
      <xdr:spPr>
        <a:xfrm>
          <a:off x="11256197" y="992402"/>
          <a:ext cx="1152000" cy="280159"/>
        </a:xfrm>
        <a:prstGeom prst="roundRect">
          <a:avLst>
            <a:gd name="adj" fmla="val 50000"/>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xdr:from>
      <xdr:col>23</xdr:col>
      <xdr:colOff>91669</xdr:colOff>
      <xdr:row>5</xdr:row>
      <xdr:rowOff>67734</xdr:rowOff>
    </xdr:from>
    <xdr:to>
      <xdr:col>25</xdr:col>
      <xdr:colOff>207570</xdr:colOff>
      <xdr:row>6</xdr:row>
      <xdr:rowOff>169334</xdr:rowOff>
    </xdr:to>
    <xdr:sp macro="" textlink="">
      <xdr:nvSpPr>
        <xdr:cNvPr id="9" name="Rectangle: Rounded Corners 8">
          <a:extLst>
            <a:ext uri="{FF2B5EF4-FFF2-40B4-BE49-F238E27FC236}">
              <a16:creationId xmlns:a16="http://schemas.microsoft.com/office/drawing/2014/main" id="{854E7575-2AB3-4CE1-8D48-1699A6B41690}"/>
            </a:ext>
          </a:extLst>
        </xdr:cNvPr>
        <xdr:cNvSpPr/>
      </xdr:nvSpPr>
      <xdr:spPr>
        <a:xfrm>
          <a:off x="14112469" y="995386"/>
          <a:ext cx="1335101" cy="287131"/>
        </a:xfrm>
        <a:prstGeom prst="roundRect">
          <a:avLst>
            <a:gd name="adj" fmla="val 50000"/>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oneCellAnchor>
    <xdr:from>
      <xdr:col>5</xdr:col>
      <xdr:colOff>603386</xdr:colOff>
      <xdr:row>5</xdr:row>
      <xdr:rowOff>71219</xdr:rowOff>
    </xdr:from>
    <xdr:ext cx="1127616" cy="264560"/>
    <xdr:sp macro="" textlink="">
      <xdr:nvSpPr>
        <xdr:cNvPr id="10" name="TextBox 9">
          <a:extLst>
            <a:ext uri="{FF2B5EF4-FFF2-40B4-BE49-F238E27FC236}">
              <a16:creationId xmlns:a16="http://schemas.microsoft.com/office/drawing/2014/main" id="{AFD8DFBC-D560-4E95-8177-6CF3489CF79E}"/>
            </a:ext>
          </a:extLst>
        </xdr:cNvPr>
        <xdr:cNvSpPr txBox="1"/>
      </xdr:nvSpPr>
      <xdr:spPr>
        <a:xfrm>
          <a:off x="3651386" y="998871"/>
          <a:ext cx="112761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ID" sz="1100">
              <a:solidFill>
                <a:schemeClr val="bg1"/>
              </a:solidFill>
              <a:effectLst/>
              <a:latin typeface="+mn-lt"/>
              <a:ea typeface="+mn-ea"/>
              <a:cs typeface="+mn-cs"/>
            </a:rPr>
            <a:t>Goal Percentage</a:t>
          </a:r>
          <a:endParaRPr lang="en-ID" sz="1100">
            <a:solidFill>
              <a:schemeClr val="bg1"/>
            </a:solidFill>
            <a:effectLst/>
          </a:endParaRPr>
        </a:p>
      </xdr:txBody>
    </xdr:sp>
    <xdr:clientData/>
  </xdr:oneCellAnchor>
  <xdr:oneCellAnchor>
    <xdr:from>
      <xdr:col>5</xdr:col>
      <xdr:colOff>595812</xdr:colOff>
      <xdr:row>19</xdr:row>
      <xdr:rowOff>35363</xdr:rowOff>
    </xdr:from>
    <xdr:ext cx="1038426" cy="264560"/>
    <xdr:sp macro="" textlink="">
      <xdr:nvSpPr>
        <xdr:cNvPr id="11" name="TextBox 10">
          <a:extLst>
            <a:ext uri="{FF2B5EF4-FFF2-40B4-BE49-F238E27FC236}">
              <a16:creationId xmlns:a16="http://schemas.microsoft.com/office/drawing/2014/main" id="{A7B655CD-47B7-4356-9DAE-60D3A15955C6}"/>
            </a:ext>
          </a:extLst>
        </xdr:cNvPr>
        <xdr:cNvSpPr txBox="1"/>
      </xdr:nvSpPr>
      <xdr:spPr>
        <a:xfrm>
          <a:off x="3643812" y="3560441"/>
          <a:ext cx="103842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ID" sz="1100">
              <a:solidFill>
                <a:schemeClr val="bg1"/>
              </a:solidFill>
              <a:effectLst/>
              <a:latin typeface="+mn-lt"/>
              <a:ea typeface="+mn-ea"/>
              <a:cs typeface="+mn-cs"/>
            </a:rPr>
            <a:t>Failed Attempt</a:t>
          </a:r>
          <a:endParaRPr lang="en-ID" sz="1100">
            <a:solidFill>
              <a:schemeClr val="bg1"/>
            </a:solidFill>
            <a:effectLst/>
          </a:endParaRPr>
        </a:p>
      </xdr:txBody>
    </xdr:sp>
    <xdr:clientData/>
  </xdr:oneCellAnchor>
  <xdr:oneCellAnchor>
    <xdr:from>
      <xdr:col>19</xdr:col>
      <xdr:colOff>70847</xdr:colOff>
      <xdr:row>5</xdr:row>
      <xdr:rowOff>69873</xdr:rowOff>
    </xdr:from>
    <xdr:ext cx="748475" cy="264560"/>
    <xdr:sp macro="" textlink="">
      <xdr:nvSpPr>
        <xdr:cNvPr id="12" name="TextBox 11">
          <a:extLst>
            <a:ext uri="{FF2B5EF4-FFF2-40B4-BE49-F238E27FC236}">
              <a16:creationId xmlns:a16="http://schemas.microsoft.com/office/drawing/2014/main" id="{5B62823F-588F-4388-B0CB-2CB2057E5CBB}"/>
            </a:ext>
          </a:extLst>
        </xdr:cNvPr>
        <xdr:cNvSpPr txBox="1"/>
      </xdr:nvSpPr>
      <xdr:spPr>
        <a:xfrm>
          <a:off x="11653247" y="997525"/>
          <a:ext cx="7484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ID" sz="1100">
              <a:solidFill>
                <a:schemeClr val="bg1"/>
              </a:solidFill>
              <a:effectLst/>
              <a:latin typeface="+mn-lt"/>
              <a:ea typeface="+mn-ea"/>
              <a:cs typeface="+mn-cs"/>
            </a:rPr>
            <a:t>Goal Area</a:t>
          </a:r>
          <a:endParaRPr lang="en-ID" sz="1100">
            <a:solidFill>
              <a:schemeClr val="bg1"/>
            </a:solidFill>
            <a:effectLst/>
          </a:endParaRPr>
        </a:p>
      </xdr:txBody>
    </xdr:sp>
    <xdr:clientData/>
  </xdr:oneCellAnchor>
  <xdr:oneCellAnchor>
    <xdr:from>
      <xdr:col>23</xdr:col>
      <xdr:colOff>417565</xdr:colOff>
      <xdr:row>5</xdr:row>
      <xdr:rowOff>73973</xdr:rowOff>
    </xdr:from>
    <xdr:ext cx="933589" cy="264560"/>
    <xdr:sp macro="" textlink="">
      <xdr:nvSpPr>
        <xdr:cNvPr id="13" name="TextBox 12">
          <a:extLst>
            <a:ext uri="{FF2B5EF4-FFF2-40B4-BE49-F238E27FC236}">
              <a16:creationId xmlns:a16="http://schemas.microsoft.com/office/drawing/2014/main" id="{4D559B24-0B3F-424E-8A84-20669242E58D}"/>
            </a:ext>
          </a:extLst>
        </xdr:cNvPr>
        <xdr:cNvSpPr txBox="1"/>
      </xdr:nvSpPr>
      <xdr:spPr>
        <a:xfrm>
          <a:off x="14438365" y="1001625"/>
          <a:ext cx="933589"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ID" sz="1100">
              <a:solidFill>
                <a:schemeClr val="bg1"/>
              </a:solidFill>
              <a:effectLst/>
              <a:latin typeface="+mn-lt"/>
              <a:ea typeface="+mn-ea"/>
              <a:cs typeface="+mn-cs"/>
            </a:rPr>
            <a:t>Goal Statistic</a:t>
          </a:r>
          <a:endParaRPr lang="en-ID" sz="1100">
            <a:solidFill>
              <a:schemeClr val="bg1"/>
            </a:solidFill>
            <a:effectLst/>
          </a:endParaRPr>
        </a:p>
      </xdr:txBody>
    </xdr:sp>
    <xdr:clientData/>
  </xdr:oneCellAnchor>
  <xdr:twoCellAnchor editAs="oneCell">
    <xdr:from>
      <xdr:col>5</xdr:col>
      <xdr:colOff>337716</xdr:colOff>
      <xdr:row>5</xdr:row>
      <xdr:rowOff>63357</xdr:rowOff>
    </xdr:from>
    <xdr:to>
      <xdr:col>6</xdr:col>
      <xdr:colOff>26276</xdr:colOff>
      <xdr:row>7</xdr:row>
      <xdr:rowOff>1215</xdr:rowOff>
    </xdr:to>
    <xdr:pic>
      <xdr:nvPicPr>
        <xdr:cNvPr id="14" name="Graphic 13" descr="Soccer Goal outline">
          <a:extLst>
            <a:ext uri="{FF2B5EF4-FFF2-40B4-BE49-F238E27FC236}">
              <a16:creationId xmlns:a16="http://schemas.microsoft.com/office/drawing/2014/main" id="{43CB67E9-2C0E-4D0C-AE25-F0DCD87552A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385716" y="991009"/>
          <a:ext cx="298160" cy="308919"/>
        </a:xfrm>
        <a:prstGeom prst="rect">
          <a:avLst/>
        </a:prstGeom>
      </xdr:spPr>
    </xdr:pic>
    <xdr:clientData/>
  </xdr:twoCellAnchor>
  <xdr:twoCellAnchor editAs="oneCell">
    <xdr:from>
      <xdr:col>5</xdr:col>
      <xdr:colOff>360257</xdr:colOff>
      <xdr:row>19</xdr:row>
      <xdr:rowOff>37601</xdr:rowOff>
    </xdr:from>
    <xdr:to>
      <xdr:col>5</xdr:col>
      <xdr:colOff>592601</xdr:colOff>
      <xdr:row>20</xdr:row>
      <xdr:rowOff>91621</xdr:rowOff>
    </xdr:to>
    <xdr:pic>
      <xdr:nvPicPr>
        <xdr:cNvPr id="15" name="Graphic 14" descr="Soccer outline">
          <a:extLst>
            <a:ext uri="{FF2B5EF4-FFF2-40B4-BE49-F238E27FC236}">
              <a16:creationId xmlns:a16="http://schemas.microsoft.com/office/drawing/2014/main" id="{160FC63D-06BD-44E3-9C97-A3755B41BC7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408257" y="3562679"/>
          <a:ext cx="232344" cy="239551"/>
        </a:xfrm>
        <a:prstGeom prst="rect">
          <a:avLst/>
        </a:prstGeom>
      </xdr:spPr>
    </xdr:pic>
    <xdr:clientData/>
  </xdr:twoCellAnchor>
  <xdr:twoCellAnchor editAs="oneCell">
    <xdr:from>
      <xdr:col>18</xdr:col>
      <xdr:colOff>380680</xdr:colOff>
      <xdr:row>5</xdr:row>
      <xdr:rowOff>57952</xdr:rowOff>
    </xdr:from>
    <xdr:to>
      <xdr:col>19</xdr:col>
      <xdr:colOff>80680</xdr:colOff>
      <xdr:row>7</xdr:row>
      <xdr:rowOff>8964</xdr:rowOff>
    </xdr:to>
    <xdr:pic>
      <xdr:nvPicPr>
        <xdr:cNvPr id="16" name="Graphic 15" descr="Sports Field outline">
          <a:extLst>
            <a:ext uri="{FF2B5EF4-FFF2-40B4-BE49-F238E27FC236}">
              <a16:creationId xmlns:a16="http://schemas.microsoft.com/office/drawing/2014/main" id="{3852D483-1FEF-40AB-9C2E-6CA27249C177}"/>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1353480" y="985604"/>
          <a:ext cx="309600" cy="322073"/>
        </a:xfrm>
        <a:prstGeom prst="rect">
          <a:avLst/>
        </a:prstGeom>
      </xdr:spPr>
    </xdr:pic>
    <xdr:clientData/>
  </xdr:twoCellAnchor>
  <xdr:twoCellAnchor editAs="oneCell">
    <xdr:from>
      <xdr:col>23</xdr:col>
      <xdr:colOff>189985</xdr:colOff>
      <xdr:row>5</xdr:row>
      <xdr:rowOff>83600</xdr:rowOff>
    </xdr:from>
    <xdr:to>
      <xdr:col>23</xdr:col>
      <xdr:colOff>431445</xdr:colOff>
      <xdr:row>6</xdr:row>
      <xdr:rowOff>146538</xdr:rowOff>
    </xdr:to>
    <xdr:pic>
      <xdr:nvPicPr>
        <xdr:cNvPr id="17" name="Graphic 16" descr="Bar chart outline">
          <a:extLst>
            <a:ext uri="{FF2B5EF4-FFF2-40B4-BE49-F238E27FC236}">
              <a16:creationId xmlns:a16="http://schemas.microsoft.com/office/drawing/2014/main" id="{B4C15A0F-00C6-4398-83D1-7C4DFCA27619}"/>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4210785" y="1011252"/>
          <a:ext cx="241460" cy="248469"/>
        </a:xfrm>
        <a:prstGeom prst="rect">
          <a:avLst/>
        </a:prstGeom>
      </xdr:spPr>
    </xdr:pic>
    <xdr:clientData/>
  </xdr:twoCellAnchor>
  <xdr:oneCellAnchor>
    <xdr:from>
      <xdr:col>20</xdr:col>
      <xdr:colOff>53789</xdr:colOff>
      <xdr:row>12</xdr:row>
      <xdr:rowOff>125507</xdr:rowOff>
    </xdr:from>
    <xdr:ext cx="216534" cy="264560"/>
    <xdr:sp macro="" textlink="$B$23">
      <xdr:nvSpPr>
        <xdr:cNvPr id="19" name="TextBox 18">
          <a:extLst>
            <a:ext uri="{FF2B5EF4-FFF2-40B4-BE49-F238E27FC236}">
              <a16:creationId xmlns:a16="http://schemas.microsoft.com/office/drawing/2014/main" id="{1D480BDD-813C-4C00-B7C7-D3DCC5506648}"/>
            </a:ext>
          </a:extLst>
        </xdr:cNvPr>
        <xdr:cNvSpPr txBox="1"/>
      </xdr:nvSpPr>
      <xdr:spPr>
        <a:xfrm>
          <a:off x="12245789" y="2351872"/>
          <a:ext cx="21653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222137C5-886F-4402-A3F2-606F80A8D442}" type="TxLink">
            <a:rPr lang="en-US" sz="1100" b="0" i="0" u="none" strike="noStrike">
              <a:solidFill>
                <a:srgbClr val="000000"/>
              </a:solidFill>
              <a:latin typeface="Calibri"/>
              <a:cs typeface="Calibri"/>
            </a:rPr>
            <a:pPr/>
            <a:t> </a:t>
          </a:fld>
          <a:endParaRPr lang="en-ID" sz="1100"/>
        </a:p>
      </xdr:txBody>
    </xdr:sp>
    <xdr:clientData/>
  </xdr:oneCellAnchor>
  <xdr:twoCellAnchor>
    <xdr:from>
      <xdr:col>5</xdr:col>
      <xdr:colOff>251010</xdr:colOff>
      <xdr:row>7</xdr:row>
      <xdr:rowOff>125508</xdr:rowOff>
    </xdr:from>
    <xdr:to>
      <xdr:col>16</xdr:col>
      <xdr:colOff>38100</xdr:colOff>
      <xdr:row>17</xdr:row>
      <xdr:rowOff>134472</xdr:rowOff>
    </xdr:to>
    <xdr:graphicFrame macro="">
      <xdr:nvGraphicFramePr>
        <xdr:cNvPr id="20" name="Chart 19">
          <a:extLst>
            <a:ext uri="{FF2B5EF4-FFF2-40B4-BE49-F238E27FC236}">
              <a16:creationId xmlns:a16="http://schemas.microsoft.com/office/drawing/2014/main" id="{98D4376E-2CDD-4A26-A935-109A1DB7E8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16</xdr:col>
      <xdr:colOff>110520</xdr:colOff>
      <xdr:row>11</xdr:row>
      <xdr:rowOff>160019</xdr:rowOff>
    </xdr:from>
    <xdr:to>
      <xdr:col>16</xdr:col>
      <xdr:colOff>304800</xdr:colOff>
      <xdr:row>12</xdr:row>
      <xdr:rowOff>139848</xdr:rowOff>
    </xdr:to>
    <xdr:sp macro="" textlink="">
      <xdr:nvSpPr>
        <xdr:cNvPr id="21" name="Rectangle 20">
          <a:extLst>
            <a:ext uri="{FF2B5EF4-FFF2-40B4-BE49-F238E27FC236}">
              <a16:creationId xmlns:a16="http://schemas.microsoft.com/office/drawing/2014/main" id="{F94C86F0-63BF-485D-9FFD-4A0D4C8ED552}"/>
            </a:ext>
          </a:extLst>
        </xdr:cNvPr>
        <xdr:cNvSpPr/>
      </xdr:nvSpPr>
      <xdr:spPr>
        <a:xfrm>
          <a:off x="9864120" y="2200854"/>
          <a:ext cx="194280" cy="165359"/>
        </a:xfrm>
        <a:prstGeom prst="rect">
          <a:avLst/>
        </a:prstGeom>
        <a:solidFill>
          <a:schemeClr val="accent1">
            <a:lumMod val="40000"/>
            <a:lumOff val="6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xdr:from>
      <xdr:col>16</xdr:col>
      <xdr:colOff>111734</xdr:colOff>
      <xdr:row>13</xdr:row>
      <xdr:rowOff>69316</xdr:rowOff>
    </xdr:from>
    <xdr:to>
      <xdr:col>16</xdr:col>
      <xdr:colOff>307165</xdr:colOff>
      <xdr:row>14</xdr:row>
      <xdr:rowOff>48436</xdr:rowOff>
    </xdr:to>
    <xdr:sp macro="" textlink="">
      <xdr:nvSpPr>
        <xdr:cNvPr id="22" name="Rectangle 21">
          <a:extLst>
            <a:ext uri="{FF2B5EF4-FFF2-40B4-BE49-F238E27FC236}">
              <a16:creationId xmlns:a16="http://schemas.microsoft.com/office/drawing/2014/main" id="{DB947841-E002-4764-8157-FA305E9FF600}"/>
            </a:ext>
          </a:extLst>
        </xdr:cNvPr>
        <xdr:cNvSpPr/>
      </xdr:nvSpPr>
      <xdr:spPr>
        <a:xfrm>
          <a:off x="9865334" y="2481212"/>
          <a:ext cx="195431" cy="164650"/>
        </a:xfrm>
        <a:prstGeom prst="rect">
          <a:avLst/>
        </a:prstGeom>
        <a:solidFill>
          <a:schemeClr val="accent2">
            <a:lumMod val="40000"/>
            <a:lumOff val="6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xdr:from>
      <xdr:col>16</xdr:col>
      <xdr:colOff>99648</xdr:colOff>
      <xdr:row>15</xdr:row>
      <xdr:rowOff>51989</xdr:rowOff>
    </xdr:from>
    <xdr:to>
      <xdr:col>16</xdr:col>
      <xdr:colOff>315648</xdr:colOff>
      <xdr:row>15</xdr:row>
      <xdr:rowOff>52333</xdr:rowOff>
    </xdr:to>
    <xdr:cxnSp macro="">
      <xdr:nvCxnSpPr>
        <xdr:cNvPr id="23" name="Straight Connector 22">
          <a:extLst>
            <a:ext uri="{FF2B5EF4-FFF2-40B4-BE49-F238E27FC236}">
              <a16:creationId xmlns:a16="http://schemas.microsoft.com/office/drawing/2014/main" id="{CFFCDE82-335B-4F3B-B511-F831AC52F8A4}"/>
            </a:ext>
          </a:extLst>
        </xdr:cNvPr>
        <xdr:cNvCxnSpPr/>
      </xdr:nvCxnSpPr>
      <xdr:spPr>
        <a:xfrm>
          <a:off x="9853248" y="2834946"/>
          <a:ext cx="216000" cy="344"/>
        </a:xfrm>
        <a:prstGeom prst="line">
          <a:avLst/>
        </a:prstGeom>
        <a:ln w="25400">
          <a:solidFill>
            <a:schemeClr val="accent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172300</xdr:colOff>
      <xdr:row>15</xdr:row>
      <xdr:rowOff>10317</xdr:rowOff>
    </xdr:from>
    <xdr:to>
      <xdr:col>16</xdr:col>
      <xdr:colOff>253663</xdr:colOff>
      <xdr:row>15</xdr:row>
      <xdr:rowOff>92765</xdr:rowOff>
    </xdr:to>
    <xdr:sp macro="" textlink="">
      <xdr:nvSpPr>
        <xdr:cNvPr id="24" name="Oval 23">
          <a:extLst>
            <a:ext uri="{FF2B5EF4-FFF2-40B4-BE49-F238E27FC236}">
              <a16:creationId xmlns:a16="http://schemas.microsoft.com/office/drawing/2014/main" id="{C1F9C24B-F0D4-48F3-A3BB-6E8FB799FF82}"/>
            </a:ext>
          </a:extLst>
        </xdr:cNvPr>
        <xdr:cNvSpPr/>
      </xdr:nvSpPr>
      <xdr:spPr>
        <a:xfrm>
          <a:off x="9925900" y="2793274"/>
          <a:ext cx="81363" cy="82448"/>
        </a:xfrm>
        <a:prstGeom prst="ellipse">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oneCellAnchor>
    <xdr:from>
      <xdr:col>16</xdr:col>
      <xdr:colOff>308902</xdr:colOff>
      <xdr:row>11</xdr:row>
      <xdr:rowOff>121599</xdr:rowOff>
    </xdr:from>
    <xdr:ext cx="627185" cy="233205"/>
    <xdr:sp macro="" textlink="">
      <xdr:nvSpPr>
        <xdr:cNvPr id="25" name="TextBox 24">
          <a:extLst>
            <a:ext uri="{FF2B5EF4-FFF2-40B4-BE49-F238E27FC236}">
              <a16:creationId xmlns:a16="http://schemas.microsoft.com/office/drawing/2014/main" id="{24A82311-72D4-4F13-A383-EAA3BFDD926A}"/>
            </a:ext>
          </a:extLst>
        </xdr:cNvPr>
        <xdr:cNvSpPr txBox="1"/>
      </xdr:nvSpPr>
      <xdr:spPr>
        <a:xfrm>
          <a:off x="10062502" y="2162434"/>
          <a:ext cx="627185"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ID" sz="900">
              <a:solidFill>
                <a:schemeClr val="bg1"/>
              </a:solidFill>
              <a:effectLst/>
              <a:latin typeface="+mn-lt"/>
              <a:ea typeface="+mn-ea"/>
              <a:cs typeface="+mn-cs"/>
            </a:rPr>
            <a:t>Avg.</a:t>
          </a:r>
          <a:r>
            <a:rPr lang="en-ID" sz="900" baseline="0">
              <a:solidFill>
                <a:schemeClr val="bg1"/>
              </a:solidFill>
              <a:effectLst/>
              <a:latin typeface="+mn-lt"/>
              <a:ea typeface="+mn-ea"/>
              <a:cs typeface="+mn-cs"/>
            </a:rPr>
            <a:t> Goal</a:t>
          </a:r>
          <a:endParaRPr lang="en-ID" sz="900">
            <a:solidFill>
              <a:schemeClr val="bg1"/>
            </a:solidFill>
            <a:effectLst/>
          </a:endParaRPr>
        </a:p>
      </xdr:txBody>
    </xdr:sp>
    <xdr:clientData/>
  </xdr:oneCellAnchor>
  <xdr:oneCellAnchor>
    <xdr:from>
      <xdr:col>16</xdr:col>
      <xdr:colOff>314760</xdr:colOff>
      <xdr:row>13</xdr:row>
      <xdr:rowOff>37513</xdr:rowOff>
    </xdr:from>
    <xdr:ext cx="879235" cy="233205"/>
    <xdr:sp macro="" textlink="">
      <xdr:nvSpPr>
        <xdr:cNvPr id="26" name="TextBox 25">
          <a:extLst>
            <a:ext uri="{FF2B5EF4-FFF2-40B4-BE49-F238E27FC236}">
              <a16:creationId xmlns:a16="http://schemas.microsoft.com/office/drawing/2014/main" id="{3F525830-7D5A-4861-81E6-D16A8AEE6185}"/>
            </a:ext>
          </a:extLst>
        </xdr:cNvPr>
        <xdr:cNvSpPr txBox="1"/>
      </xdr:nvSpPr>
      <xdr:spPr>
        <a:xfrm>
          <a:off x="10068360" y="2449409"/>
          <a:ext cx="879235"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ID" sz="900">
              <a:solidFill>
                <a:schemeClr val="bg1"/>
              </a:solidFill>
              <a:effectLst/>
              <a:latin typeface="+mn-lt"/>
              <a:ea typeface="+mn-ea"/>
              <a:cs typeface="+mn-cs"/>
            </a:rPr>
            <a:t>Avg.</a:t>
          </a:r>
          <a:r>
            <a:rPr lang="en-ID" sz="900" baseline="0">
              <a:solidFill>
                <a:schemeClr val="bg1"/>
              </a:solidFill>
              <a:effectLst/>
              <a:latin typeface="+mn-lt"/>
              <a:ea typeface="+mn-ea"/>
              <a:cs typeface="+mn-cs"/>
            </a:rPr>
            <a:t> On Target</a:t>
          </a:r>
          <a:endParaRPr lang="en-ID" sz="900">
            <a:solidFill>
              <a:schemeClr val="bg1"/>
            </a:solidFill>
            <a:effectLst/>
          </a:endParaRPr>
        </a:p>
      </xdr:txBody>
    </xdr:sp>
    <xdr:clientData/>
  </xdr:oneCellAnchor>
  <xdr:oneCellAnchor>
    <xdr:from>
      <xdr:col>16</xdr:col>
      <xdr:colOff>320621</xdr:colOff>
      <xdr:row>14</xdr:row>
      <xdr:rowOff>66007</xdr:rowOff>
    </xdr:from>
    <xdr:ext cx="883339" cy="374077"/>
    <xdr:sp macro="" textlink="">
      <xdr:nvSpPr>
        <xdr:cNvPr id="27" name="TextBox 26">
          <a:extLst>
            <a:ext uri="{FF2B5EF4-FFF2-40B4-BE49-F238E27FC236}">
              <a16:creationId xmlns:a16="http://schemas.microsoft.com/office/drawing/2014/main" id="{C3DF6614-90DB-4BAB-9836-C019D21AAE52}"/>
            </a:ext>
          </a:extLst>
        </xdr:cNvPr>
        <xdr:cNvSpPr txBox="1"/>
      </xdr:nvSpPr>
      <xdr:spPr>
        <a:xfrm>
          <a:off x="10074221" y="2663433"/>
          <a:ext cx="883339" cy="374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lang="en-ID" sz="900">
              <a:solidFill>
                <a:schemeClr val="bg1"/>
              </a:solidFill>
              <a:effectLst/>
              <a:latin typeface="+mn-lt"/>
              <a:ea typeface="+mn-ea"/>
              <a:cs typeface="+mn-cs"/>
            </a:rPr>
            <a:t>Avg.</a:t>
          </a:r>
          <a:r>
            <a:rPr lang="en-ID" sz="900" baseline="0">
              <a:solidFill>
                <a:schemeClr val="bg1"/>
              </a:solidFill>
              <a:effectLst/>
              <a:latin typeface="+mn-lt"/>
              <a:ea typeface="+mn-ea"/>
              <a:cs typeface="+mn-cs"/>
            </a:rPr>
            <a:t> Goal</a:t>
          </a:r>
        </a:p>
        <a:p>
          <a:pPr marL="0" marR="0" lvl="0" indent="0" algn="l" defTabSz="914400" eaLnBrk="1" fontAlgn="auto" latinLnBrk="0" hangingPunct="1">
            <a:lnSpc>
              <a:spcPct val="100000"/>
            </a:lnSpc>
            <a:spcBef>
              <a:spcPts val="0"/>
            </a:spcBef>
            <a:spcAft>
              <a:spcPts val="0"/>
            </a:spcAft>
            <a:buClrTx/>
            <a:buSzTx/>
            <a:buFontTx/>
            <a:buNone/>
            <a:tabLst/>
            <a:defRPr/>
          </a:pPr>
          <a:r>
            <a:rPr lang="en-ID" sz="900" baseline="0">
              <a:solidFill>
                <a:schemeClr val="bg1"/>
              </a:solidFill>
              <a:effectLst/>
              <a:latin typeface="+mn-lt"/>
              <a:ea typeface="+mn-ea"/>
              <a:cs typeface="+mn-cs"/>
            </a:rPr>
            <a:t> Percentage</a:t>
          </a:r>
          <a:endParaRPr lang="en-ID" sz="900">
            <a:solidFill>
              <a:schemeClr val="bg1"/>
            </a:solidFill>
            <a:effectLst/>
          </a:endParaRPr>
        </a:p>
      </xdr:txBody>
    </xdr:sp>
    <xdr:clientData/>
  </xdr:oneCellAnchor>
  <xdr:twoCellAnchor>
    <xdr:from>
      <xdr:col>5</xdr:col>
      <xdr:colOff>286870</xdr:colOff>
      <xdr:row>21</xdr:row>
      <xdr:rowOff>71715</xdr:rowOff>
    </xdr:from>
    <xdr:to>
      <xdr:col>11</xdr:col>
      <xdr:colOff>301270</xdr:colOff>
      <xdr:row>29</xdr:row>
      <xdr:rowOff>71718</xdr:rowOff>
    </xdr:to>
    <xdr:graphicFrame macro="">
      <xdr:nvGraphicFramePr>
        <xdr:cNvPr id="28" name="Chart 27">
          <a:extLst>
            <a:ext uri="{FF2B5EF4-FFF2-40B4-BE49-F238E27FC236}">
              <a16:creationId xmlns:a16="http://schemas.microsoft.com/office/drawing/2014/main" id="{4A4A9742-4C1D-472F-A4B8-181855440D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11</xdr:col>
      <xdr:colOff>517090</xdr:colOff>
      <xdr:row>21</xdr:row>
      <xdr:rowOff>66788</xdr:rowOff>
    </xdr:from>
    <xdr:to>
      <xdr:col>17</xdr:col>
      <xdr:colOff>531490</xdr:colOff>
      <xdr:row>29</xdr:row>
      <xdr:rowOff>80683</xdr:rowOff>
    </xdr:to>
    <xdr:graphicFrame macro="">
      <xdr:nvGraphicFramePr>
        <xdr:cNvPr id="29" name="Chart 28">
          <a:extLst>
            <a:ext uri="{FF2B5EF4-FFF2-40B4-BE49-F238E27FC236}">
              <a16:creationId xmlns:a16="http://schemas.microsoft.com/office/drawing/2014/main" id="{56EDA134-3D41-4E18-B600-A86766EDC7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6</xdr:col>
      <xdr:colOff>59887</xdr:colOff>
      <xdr:row>30</xdr:row>
      <xdr:rowOff>111115</xdr:rowOff>
    </xdr:from>
    <xdr:to>
      <xdr:col>6</xdr:col>
      <xdr:colOff>275887</xdr:colOff>
      <xdr:row>30</xdr:row>
      <xdr:rowOff>111459</xdr:rowOff>
    </xdr:to>
    <xdr:cxnSp macro="">
      <xdr:nvCxnSpPr>
        <xdr:cNvPr id="30" name="Straight Connector 29">
          <a:extLst>
            <a:ext uri="{FF2B5EF4-FFF2-40B4-BE49-F238E27FC236}">
              <a16:creationId xmlns:a16="http://schemas.microsoft.com/office/drawing/2014/main" id="{C478FB5C-ADFF-4AA9-B8C9-2E5CD660856A}"/>
            </a:ext>
          </a:extLst>
        </xdr:cNvPr>
        <xdr:cNvCxnSpPr/>
      </xdr:nvCxnSpPr>
      <xdr:spPr>
        <a:xfrm>
          <a:off x="3717487" y="5677028"/>
          <a:ext cx="216000" cy="344"/>
        </a:xfrm>
        <a:prstGeom prst="line">
          <a:avLst/>
        </a:prstGeom>
        <a:ln w="25400">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280860</xdr:colOff>
      <xdr:row>29</xdr:row>
      <xdr:rowOff>169064</xdr:rowOff>
    </xdr:from>
    <xdr:ext cx="1176875" cy="233205"/>
    <xdr:sp macro="" textlink="">
      <xdr:nvSpPr>
        <xdr:cNvPr id="31" name="TextBox 30">
          <a:extLst>
            <a:ext uri="{FF2B5EF4-FFF2-40B4-BE49-F238E27FC236}">
              <a16:creationId xmlns:a16="http://schemas.microsoft.com/office/drawing/2014/main" id="{C817BA0E-29BA-443E-BD34-33981983A053}"/>
            </a:ext>
          </a:extLst>
        </xdr:cNvPr>
        <xdr:cNvSpPr txBox="1"/>
      </xdr:nvSpPr>
      <xdr:spPr>
        <a:xfrm>
          <a:off x="3938460" y="5549447"/>
          <a:ext cx="1176875"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lang="en-ID" sz="900">
              <a:solidFill>
                <a:schemeClr val="bg1"/>
              </a:solidFill>
              <a:effectLst/>
              <a:latin typeface="+mn-lt"/>
              <a:ea typeface="+mn-ea"/>
              <a:cs typeface="+mn-cs"/>
            </a:rPr>
            <a:t>Avg.</a:t>
          </a:r>
          <a:r>
            <a:rPr lang="en-ID" sz="900" baseline="0">
              <a:solidFill>
                <a:schemeClr val="bg1"/>
              </a:solidFill>
              <a:effectLst/>
              <a:latin typeface="+mn-lt"/>
              <a:ea typeface="+mn-ea"/>
              <a:cs typeface="+mn-cs"/>
            </a:rPr>
            <a:t> Corner Taken</a:t>
          </a:r>
          <a:endParaRPr lang="en-ID" sz="900">
            <a:solidFill>
              <a:schemeClr val="bg1"/>
            </a:solidFill>
            <a:effectLst/>
          </a:endParaRPr>
        </a:p>
      </xdr:txBody>
    </xdr:sp>
    <xdr:clientData/>
  </xdr:oneCellAnchor>
  <xdr:twoCellAnchor>
    <xdr:from>
      <xdr:col>8</xdr:col>
      <xdr:colOff>490325</xdr:colOff>
      <xdr:row>30</xdr:row>
      <xdr:rowOff>107703</xdr:rowOff>
    </xdr:from>
    <xdr:to>
      <xdr:col>9</xdr:col>
      <xdr:colOff>96725</xdr:colOff>
      <xdr:row>30</xdr:row>
      <xdr:rowOff>108047</xdr:rowOff>
    </xdr:to>
    <xdr:cxnSp macro="">
      <xdr:nvCxnSpPr>
        <xdr:cNvPr id="32" name="Straight Connector 31">
          <a:extLst>
            <a:ext uri="{FF2B5EF4-FFF2-40B4-BE49-F238E27FC236}">
              <a16:creationId xmlns:a16="http://schemas.microsoft.com/office/drawing/2014/main" id="{A2E9CB84-50E0-455A-85BE-3C211F82D41E}"/>
            </a:ext>
          </a:extLst>
        </xdr:cNvPr>
        <xdr:cNvCxnSpPr/>
      </xdr:nvCxnSpPr>
      <xdr:spPr>
        <a:xfrm>
          <a:off x="5367125" y="5673616"/>
          <a:ext cx="216000" cy="344"/>
        </a:xfrm>
        <a:prstGeom prst="line">
          <a:avLst/>
        </a:prstGeom>
        <a:ln w="25400">
          <a:solidFill>
            <a:schemeClr val="accent6">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9</xdr:col>
      <xdr:colOff>101698</xdr:colOff>
      <xdr:row>29</xdr:row>
      <xdr:rowOff>165652</xdr:rowOff>
    </xdr:from>
    <xdr:ext cx="1176875" cy="233205"/>
    <xdr:sp macro="" textlink="">
      <xdr:nvSpPr>
        <xdr:cNvPr id="33" name="TextBox 32">
          <a:extLst>
            <a:ext uri="{FF2B5EF4-FFF2-40B4-BE49-F238E27FC236}">
              <a16:creationId xmlns:a16="http://schemas.microsoft.com/office/drawing/2014/main" id="{64A3E0D1-DDD0-49E8-A0A0-505B8BDB89E3}"/>
            </a:ext>
          </a:extLst>
        </xdr:cNvPr>
        <xdr:cNvSpPr txBox="1"/>
      </xdr:nvSpPr>
      <xdr:spPr>
        <a:xfrm>
          <a:off x="5588098" y="5546035"/>
          <a:ext cx="1176875"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lang="en-ID" sz="900">
              <a:solidFill>
                <a:schemeClr val="bg1"/>
              </a:solidFill>
              <a:effectLst/>
              <a:latin typeface="+mn-lt"/>
              <a:ea typeface="+mn-ea"/>
              <a:cs typeface="+mn-cs"/>
            </a:rPr>
            <a:t>Avg.</a:t>
          </a:r>
          <a:r>
            <a:rPr lang="en-ID" sz="900" baseline="0">
              <a:solidFill>
                <a:schemeClr val="bg1"/>
              </a:solidFill>
              <a:effectLst/>
              <a:latin typeface="+mn-lt"/>
              <a:ea typeface="+mn-ea"/>
              <a:cs typeface="+mn-cs"/>
            </a:rPr>
            <a:t> Total Offside</a:t>
          </a:r>
          <a:endParaRPr lang="en-ID" sz="900">
            <a:solidFill>
              <a:schemeClr val="bg1"/>
            </a:solidFill>
            <a:effectLst/>
          </a:endParaRPr>
        </a:p>
      </xdr:txBody>
    </xdr:sp>
    <xdr:clientData/>
  </xdr:oneCellAnchor>
  <xdr:twoCellAnchor>
    <xdr:from>
      <xdr:col>12</xdr:col>
      <xdr:colOff>67434</xdr:colOff>
      <xdr:row>30</xdr:row>
      <xdr:rowOff>111117</xdr:rowOff>
    </xdr:from>
    <xdr:to>
      <xdr:col>12</xdr:col>
      <xdr:colOff>283434</xdr:colOff>
      <xdr:row>30</xdr:row>
      <xdr:rowOff>111461</xdr:rowOff>
    </xdr:to>
    <xdr:cxnSp macro="">
      <xdr:nvCxnSpPr>
        <xdr:cNvPr id="34" name="Straight Connector 33">
          <a:extLst>
            <a:ext uri="{FF2B5EF4-FFF2-40B4-BE49-F238E27FC236}">
              <a16:creationId xmlns:a16="http://schemas.microsoft.com/office/drawing/2014/main" id="{1CFAD71B-8915-4426-B993-5E3ADDC1275D}"/>
            </a:ext>
          </a:extLst>
        </xdr:cNvPr>
        <xdr:cNvCxnSpPr/>
      </xdr:nvCxnSpPr>
      <xdr:spPr>
        <a:xfrm>
          <a:off x="7382634" y="5677030"/>
          <a:ext cx="216000" cy="344"/>
        </a:xfrm>
        <a:prstGeom prst="line">
          <a:avLst/>
        </a:prstGeom>
        <a:ln w="25400">
          <a:solidFill>
            <a:schemeClr val="accent2">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12</xdr:col>
      <xdr:colOff>288407</xdr:colOff>
      <xdr:row>29</xdr:row>
      <xdr:rowOff>169066</xdr:rowOff>
    </xdr:from>
    <xdr:ext cx="1176875" cy="233205"/>
    <xdr:sp macro="" textlink="">
      <xdr:nvSpPr>
        <xdr:cNvPr id="35" name="TextBox 34">
          <a:extLst>
            <a:ext uri="{FF2B5EF4-FFF2-40B4-BE49-F238E27FC236}">
              <a16:creationId xmlns:a16="http://schemas.microsoft.com/office/drawing/2014/main" id="{92B3B691-62F8-428F-B951-D490D0B51B24}"/>
            </a:ext>
          </a:extLst>
        </xdr:cNvPr>
        <xdr:cNvSpPr txBox="1"/>
      </xdr:nvSpPr>
      <xdr:spPr>
        <a:xfrm>
          <a:off x="7603607" y="5549449"/>
          <a:ext cx="1176875"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lang="en-ID" sz="900">
              <a:solidFill>
                <a:schemeClr val="bg1"/>
              </a:solidFill>
              <a:effectLst/>
              <a:latin typeface="+mn-lt"/>
              <a:ea typeface="+mn-ea"/>
              <a:cs typeface="+mn-cs"/>
            </a:rPr>
            <a:t>Avg.</a:t>
          </a:r>
          <a:r>
            <a:rPr lang="en-ID" sz="900" baseline="0">
              <a:solidFill>
                <a:schemeClr val="bg1"/>
              </a:solidFill>
              <a:effectLst/>
              <a:latin typeface="+mn-lt"/>
              <a:ea typeface="+mn-ea"/>
              <a:cs typeface="+mn-cs"/>
            </a:rPr>
            <a:t> Hit Woodwork</a:t>
          </a:r>
          <a:endParaRPr lang="en-ID" sz="900">
            <a:solidFill>
              <a:schemeClr val="bg1"/>
            </a:solidFill>
            <a:effectLst/>
          </a:endParaRPr>
        </a:p>
      </xdr:txBody>
    </xdr:sp>
    <xdr:clientData/>
  </xdr:oneCellAnchor>
  <xdr:twoCellAnchor>
    <xdr:from>
      <xdr:col>14</xdr:col>
      <xdr:colOff>497872</xdr:colOff>
      <xdr:row>30</xdr:row>
      <xdr:rowOff>107705</xdr:rowOff>
    </xdr:from>
    <xdr:to>
      <xdr:col>15</xdr:col>
      <xdr:colOff>104272</xdr:colOff>
      <xdr:row>30</xdr:row>
      <xdr:rowOff>108049</xdr:rowOff>
    </xdr:to>
    <xdr:cxnSp macro="">
      <xdr:nvCxnSpPr>
        <xdr:cNvPr id="36" name="Straight Connector 35">
          <a:extLst>
            <a:ext uri="{FF2B5EF4-FFF2-40B4-BE49-F238E27FC236}">
              <a16:creationId xmlns:a16="http://schemas.microsoft.com/office/drawing/2014/main" id="{78E1FE6D-B53A-4BA4-87D4-37201332F084}"/>
            </a:ext>
          </a:extLst>
        </xdr:cNvPr>
        <xdr:cNvCxnSpPr/>
      </xdr:nvCxnSpPr>
      <xdr:spPr>
        <a:xfrm>
          <a:off x="9032272" y="5673618"/>
          <a:ext cx="216000" cy="344"/>
        </a:xfrm>
        <a:prstGeom prst="line">
          <a:avLst/>
        </a:prstGeom>
        <a:ln w="25400">
          <a:solidFill>
            <a:schemeClr val="tx2">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15</xdr:col>
      <xdr:colOff>109245</xdr:colOff>
      <xdr:row>29</xdr:row>
      <xdr:rowOff>165654</xdr:rowOff>
    </xdr:from>
    <xdr:ext cx="1541566" cy="233205"/>
    <xdr:sp macro="" textlink="">
      <xdr:nvSpPr>
        <xdr:cNvPr id="37" name="TextBox 36">
          <a:extLst>
            <a:ext uri="{FF2B5EF4-FFF2-40B4-BE49-F238E27FC236}">
              <a16:creationId xmlns:a16="http://schemas.microsoft.com/office/drawing/2014/main" id="{BA3D37C0-1CBC-4FB5-8A17-5B4DA7C51908}"/>
            </a:ext>
          </a:extLst>
        </xdr:cNvPr>
        <xdr:cNvSpPr txBox="1"/>
      </xdr:nvSpPr>
      <xdr:spPr>
        <a:xfrm>
          <a:off x="9253245" y="5546037"/>
          <a:ext cx="1541566"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lang="en-ID" sz="900">
              <a:solidFill>
                <a:schemeClr val="bg1"/>
              </a:solidFill>
              <a:effectLst/>
              <a:latin typeface="+mn-lt"/>
              <a:ea typeface="+mn-ea"/>
              <a:cs typeface="+mn-cs"/>
            </a:rPr>
            <a:t>Avg.</a:t>
          </a:r>
          <a:r>
            <a:rPr lang="en-ID" sz="900" baseline="0">
              <a:solidFill>
                <a:schemeClr val="bg1"/>
              </a:solidFill>
              <a:effectLst/>
              <a:latin typeface="+mn-lt"/>
              <a:ea typeface="+mn-ea"/>
              <a:cs typeface="+mn-cs"/>
            </a:rPr>
            <a:t> Penalty Goals Conceded</a:t>
          </a:r>
          <a:endParaRPr lang="en-ID" sz="900">
            <a:solidFill>
              <a:schemeClr val="bg1"/>
            </a:solidFill>
            <a:effectLst/>
          </a:endParaRPr>
        </a:p>
      </xdr:txBody>
    </xdr:sp>
    <xdr:clientData/>
  </xdr:oneCellAnchor>
  <xdr:twoCellAnchor>
    <xdr:from>
      <xdr:col>6</xdr:col>
      <xdr:colOff>126124</xdr:colOff>
      <xdr:row>30</xdr:row>
      <xdr:rowOff>68318</xdr:rowOff>
    </xdr:from>
    <xdr:to>
      <xdr:col>6</xdr:col>
      <xdr:colOff>215462</xdr:colOff>
      <xdr:row>30</xdr:row>
      <xdr:rowOff>157656</xdr:rowOff>
    </xdr:to>
    <xdr:sp macro="" textlink="">
      <xdr:nvSpPr>
        <xdr:cNvPr id="38" name="Diamond 37">
          <a:extLst>
            <a:ext uri="{FF2B5EF4-FFF2-40B4-BE49-F238E27FC236}">
              <a16:creationId xmlns:a16="http://schemas.microsoft.com/office/drawing/2014/main" id="{1E3107C1-6D7E-46C8-B252-77F5F8D013E6}"/>
            </a:ext>
          </a:extLst>
        </xdr:cNvPr>
        <xdr:cNvSpPr/>
      </xdr:nvSpPr>
      <xdr:spPr>
        <a:xfrm>
          <a:off x="3783724" y="5634231"/>
          <a:ext cx="89338" cy="89338"/>
        </a:xfrm>
        <a:prstGeom prst="diamond">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xdr:from>
      <xdr:col>8</xdr:col>
      <xdr:colOff>557050</xdr:colOff>
      <xdr:row>30</xdr:row>
      <xdr:rowOff>63063</xdr:rowOff>
    </xdr:from>
    <xdr:to>
      <xdr:col>9</xdr:col>
      <xdr:colOff>36788</xdr:colOff>
      <xdr:row>30</xdr:row>
      <xdr:rowOff>152401</xdr:rowOff>
    </xdr:to>
    <xdr:sp macro="" textlink="">
      <xdr:nvSpPr>
        <xdr:cNvPr id="39" name="Diamond 38">
          <a:extLst>
            <a:ext uri="{FF2B5EF4-FFF2-40B4-BE49-F238E27FC236}">
              <a16:creationId xmlns:a16="http://schemas.microsoft.com/office/drawing/2014/main" id="{E70482B7-DE7C-4F1E-A6DD-94F3081CA0C8}"/>
            </a:ext>
          </a:extLst>
        </xdr:cNvPr>
        <xdr:cNvSpPr/>
      </xdr:nvSpPr>
      <xdr:spPr>
        <a:xfrm>
          <a:off x="5433850" y="5628976"/>
          <a:ext cx="89338" cy="89338"/>
        </a:xfrm>
        <a:prstGeom prst="diamond">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xdr:from>
      <xdr:col>12</xdr:col>
      <xdr:colOff>136635</xdr:colOff>
      <xdr:row>30</xdr:row>
      <xdr:rowOff>68321</xdr:rowOff>
    </xdr:from>
    <xdr:to>
      <xdr:col>12</xdr:col>
      <xdr:colOff>225973</xdr:colOff>
      <xdr:row>30</xdr:row>
      <xdr:rowOff>157659</xdr:rowOff>
    </xdr:to>
    <xdr:sp macro="" textlink="">
      <xdr:nvSpPr>
        <xdr:cNvPr id="40" name="Diamond 39">
          <a:extLst>
            <a:ext uri="{FF2B5EF4-FFF2-40B4-BE49-F238E27FC236}">
              <a16:creationId xmlns:a16="http://schemas.microsoft.com/office/drawing/2014/main" id="{FEEC4AA0-EA78-4006-A417-37C20082DE82}"/>
            </a:ext>
          </a:extLst>
        </xdr:cNvPr>
        <xdr:cNvSpPr/>
      </xdr:nvSpPr>
      <xdr:spPr>
        <a:xfrm>
          <a:off x="7451835" y="5634234"/>
          <a:ext cx="89338" cy="89338"/>
        </a:xfrm>
        <a:prstGeom prst="diamond">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xdr:from>
      <xdr:col>14</xdr:col>
      <xdr:colOff>567557</xdr:colOff>
      <xdr:row>30</xdr:row>
      <xdr:rowOff>63064</xdr:rowOff>
    </xdr:from>
    <xdr:to>
      <xdr:col>15</xdr:col>
      <xdr:colOff>47295</xdr:colOff>
      <xdr:row>30</xdr:row>
      <xdr:rowOff>152402</xdr:rowOff>
    </xdr:to>
    <xdr:sp macro="" textlink="">
      <xdr:nvSpPr>
        <xdr:cNvPr id="41" name="Diamond 40">
          <a:extLst>
            <a:ext uri="{FF2B5EF4-FFF2-40B4-BE49-F238E27FC236}">
              <a16:creationId xmlns:a16="http://schemas.microsoft.com/office/drawing/2014/main" id="{09CD8C48-B134-4AA8-AB4C-B6BD2AA5054E}"/>
            </a:ext>
          </a:extLst>
        </xdr:cNvPr>
        <xdr:cNvSpPr/>
      </xdr:nvSpPr>
      <xdr:spPr>
        <a:xfrm>
          <a:off x="9101957" y="5628977"/>
          <a:ext cx="89338" cy="89338"/>
        </a:xfrm>
        <a:prstGeom prst="diamond">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xdr:from>
      <xdr:col>18</xdr:col>
      <xdr:colOff>198705</xdr:colOff>
      <xdr:row>9</xdr:row>
      <xdr:rowOff>33869</xdr:rowOff>
    </xdr:from>
    <xdr:to>
      <xdr:col>19</xdr:col>
      <xdr:colOff>580291</xdr:colOff>
      <xdr:row>14</xdr:row>
      <xdr:rowOff>98080</xdr:rowOff>
    </xdr:to>
    <xdr:graphicFrame macro="">
      <xdr:nvGraphicFramePr>
        <xdr:cNvPr id="47" name="Chart 46">
          <a:extLst>
            <a:ext uri="{FF2B5EF4-FFF2-40B4-BE49-F238E27FC236}">
              <a16:creationId xmlns:a16="http://schemas.microsoft.com/office/drawing/2014/main" id="{952D3A03-4409-44E3-B9EE-BCD5C523ED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22</xdr:col>
      <xdr:colOff>596597</xdr:colOff>
      <xdr:row>7</xdr:row>
      <xdr:rowOff>106230</xdr:rowOff>
    </xdr:from>
    <xdr:to>
      <xdr:col>27</xdr:col>
      <xdr:colOff>80683</xdr:colOff>
      <xdr:row>27</xdr:row>
      <xdr:rowOff>93784</xdr:rowOff>
    </xdr:to>
    <xdr:graphicFrame macro="">
      <xdr:nvGraphicFramePr>
        <xdr:cNvPr id="48" name="Chart 47">
          <a:extLst>
            <a:ext uri="{FF2B5EF4-FFF2-40B4-BE49-F238E27FC236}">
              <a16:creationId xmlns:a16="http://schemas.microsoft.com/office/drawing/2014/main" id="{8FD3A999-1E50-4338-B9C3-743F4EF66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23</xdr:col>
      <xdr:colOff>48452</xdr:colOff>
      <xdr:row>28</xdr:row>
      <xdr:rowOff>19485</xdr:rowOff>
    </xdr:from>
    <xdr:to>
      <xdr:col>23</xdr:col>
      <xdr:colOff>242732</xdr:colOff>
      <xdr:row>28</xdr:row>
      <xdr:rowOff>181021</xdr:rowOff>
    </xdr:to>
    <xdr:sp macro="" textlink="">
      <xdr:nvSpPr>
        <xdr:cNvPr id="49" name="Rectangle 48">
          <a:extLst>
            <a:ext uri="{FF2B5EF4-FFF2-40B4-BE49-F238E27FC236}">
              <a16:creationId xmlns:a16="http://schemas.microsoft.com/office/drawing/2014/main" id="{989716B5-4A6F-443F-9685-8C8ABDEA7B20}"/>
            </a:ext>
          </a:extLst>
        </xdr:cNvPr>
        <xdr:cNvSpPr/>
      </xdr:nvSpPr>
      <xdr:spPr>
        <a:xfrm>
          <a:off x="14069252" y="5214337"/>
          <a:ext cx="194280" cy="161536"/>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oneCellAnchor>
    <xdr:from>
      <xdr:col>23</xdr:col>
      <xdr:colOff>208902</xdr:colOff>
      <xdr:row>27</xdr:row>
      <xdr:rowOff>159187</xdr:rowOff>
    </xdr:from>
    <xdr:ext cx="1053734" cy="233205"/>
    <xdr:sp macro="" textlink="">
      <xdr:nvSpPr>
        <xdr:cNvPr id="50" name="TextBox 49">
          <a:extLst>
            <a:ext uri="{FF2B5EF4-FFF2-40B4-BE49-F238E27FC236}">
              <a16:creationId xmlns:a16="http://schemas.microsoft.com/office/drawing/2014/main" id="{7108614C-9352-444C-8A7A-3EF150500579}"/>
            </a:ext>
          </a:extLst>
        </xdr:cNvPr>
        <xdr:cNvSpPr txBox="1"/>
      </xdr:nvSpPr>
      <xdr:spPr>
        <a:xfrm>
          <a:off x="14229702" y="5168509"/>
          <a:ext cx="1053734"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ID" sz="900">
              <a:solidFill>
                <a:schemeClr val="bg1"/>
              </a:solidFill>
              <a:effectLst/>
              <a:latin typeface="+mn-lt"/>
              <a:ea typeface="+mn-ea"/>
              <a:cs typeface="+mn-cs"/>
            </a:rPr>
            <a:t>Avg.</a:t>
          </a:r>
          <a:r>
            <a:rPr lang="en-ID" sz="900" baseline="0">
              <a:solidFill>
                <a:schemeClr val="bg1"/>
              </a:solidFill>
              <a:effectLst/>
              <a:latin typeface="+mn-lt"/>
              <a:ea typeface="+mn-ea"/>
              <a:cs typeface="+mn-cs"/>
            </a:rPr>
            <a:t> Heading Goal</a:t>
          </a:r>
          <a:endParaRPr lang="en-ID" sz="900">
            <a:solidFill>
              <a:schemeClr val="bg1"/>
            </a:solidFill>
            <a:effectLst/>
          </a:endParaRPr>
        </a:p>
      </xdr:txBody>
    </xdr:sp>
    <xdr:clientData/>
  </xdr:oneCellAnchor>
  <xdr:twoCellAnchor>
    <xdr:from>
      <xdr:col>23</xdr:col>
      <xdr:colOff>51555</xdr:colOff>
      <xdr:row>29</xdr:row>
      <xdr:rowOff>126714</xdr:rowOff>
    </xdr:from>
    <xdr:to>
      <xdr:col>23</xdr:col>
      <xdr:colOff>245835</xdr:colOff>
      <xdr:row>30</xdr:row>
      <xdr:rowOff>108955</xdr:rowOff>
    </xdr:to>
    <xdr:sp macro="" textlink="">
      <xdr:nvSpPr>
        <xdr:cNvPr id="51" name="Rectangle 50">
          <a:extLst>
            <a:ext uri="{FF2B5EF4-FFF2-40B4-BE49-F238E27FC236}">
              <a16:creationId xmlns:a16="http://schemas.microsoft.com/office/drawing/2014/main" id="{F526A08D-2178-46BF-A77A-FB0ED80ADF71}"/>
            </a:ext>
          </a:extLst>
        </xdr:cNvPr>
        <xdr:cNvSpPr/>
      </xdr:nvSpPr>
      <xdr:spPr>
        <a:xfrm>
          <a:off x="14072355" y="5507097"/>
          <a:ext cx="194280" cy="167771"/>
        </a:xfrm>
        <a:prstGeom prst="rect">
          <a:avLst/>
        </a:prstGeom>
        <a:solidFill>
          <a:schemeClr val="accent6">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oneCellAnchor>
    <xdr:from>
      <xdr:col>23</xdr:col>
      <xdr:colOff>217867</xdr:colOff>
      <xdr:row>29</xdr:row>
      <xdr:rowOff>89705</xdr:rowOff>
    </xdr:from>
    <xdr:ext cx="999947" cy="233205"/>
    <xdr:sp macro="" textlink="">
      <xdr:nvSpPr>
        <xdr:cNvPr id="52" name="TextBox 51">
          <a:extLst>
            <a:ext uri="{FF2B5EF4-FFF2-40B4-BE49-F238E27FC236}">
              <a16:creationId xmlns:a16="http://schemas.microsoft.com/office/drawing/2014/main" id="{B730E989-E00F-406B-89C9-06CCD3CB45BF}"/>
            </a:ext>
          </a:extLst>
        </xdr:cNvPr>
        <xdr:cNvSpPr txBox="1"/>
      </xdr:nvSpPr>
      <xdr:spPr>
        <a:xfrm>
          <a:off x="14238667" y="5470088"/>
          <a:ext cx="99994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ID" sz="900">
              <a:solidFill>
                <a:schemeClr val="bg1"/>
              </a:solidFill>
              <a:effectLst/>
              <a:latin typeface="+mn-lt"/>
              <a:ea typeface="+mn-ea"/>
              <a:cs typeface="+mn-cs"/>
            </a:rPr>
            <a:t>Avg.</a:t>
          </a:r>
          <a:r>
            <a:rPr lang="en-ID" sz="900" baseline="0">
              <a:solidFill>
                <a:schemeClr val="bg1"/>
              </a:solidFill>
              <a:effectLst/>
              <a:latin typeface="+mn-lt"/>
              <a:ea typeface="+mn-ea"/>
              <a:cs typeface="+mn-cs"/>
            </a:rPr>
            <a:t> Penalty Goal</a:t>
          </a:r>
          <a:endParaRPr lang="en-ID" sz="900">
            <a:solidFill>
              <a:schemeClr val="bg1"/>
            </a:solidFill>
            <a:effectLst/>
          </a:endParaRPr>
        </a:p>
      </xdr:txBody>
    </xdr:sp>
    <xdr:clientData/>
  </xdr:oneCellAnchor>
  <xdr:twoCellAnchor>
    <xdr:from>
      <xdr:col>25</xdr:col>
      <xdr:colOff>57420</xdr:colOff>
      <xdr:row>28</xdr:row>
      <xdr:rowOff>28450</xdr:rowOff>
    </xdr:from>
    <xdr:to>
      <xdr:col>25</xdr:col>
      <xdr:colOff>251700</xdr:colOff>
      <xdr:row>29</xdr:row>
      <xdr:rowOff>8278</xdr:rowOff>
    </xdr:to>
    <xdr:sp macro="" textlink="">
      <xdr:nvSpPr>
        <xdr:cNvPr id="53" name="Rectangle 52">
          <a:extLst>
            <a:ext uri="{FF2B5EF4-FFF2-40B4-BE49-F238E27FC236}">
              <a16:creationId xmlns:a16="http://schemas.microsoft.com/office/drawing/2014/main" id="{BF39E65D-18BF-4D39-8546-D6190CC4F658}"/>
            </a:ext>
          </a:extLst>
        </xdr:cNvPr>
        <xdr:cNvSpPr/>
      </xdr:nvSpPr>
      <xdr:spPr>
        <a:xfrm>
          <a:off x="15297420" y="5223302"/>
          <a:ext cx="194280" cy="165359"/>
        </a:xfrm>
        <a:prstGeom prst="rect">
          <a:avLst/>
        </a:prstGeom>
        <a:solidFill>
          <a:schemeClr val="accent4">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oneCellAnchor>
    <xdr:from>
      <xdr:col>25</xdr:col>
      <xdr:colOff>194425</xdr:colOff>
      <xdr:row>27</xdr:row>
      <xdr:rowOff>168152</xdr:rowOff>
    </xdr:from>
    <xdr:ext cx="1197168" cy="233205"/>
    <xdr:sp macro="" textlink="">
      <xdr:nvSpPr>
        <xdr:cNvPr id="54" name="TextBox 53">
          <a:extLst>
            <a:ext uri="{FF2B5EF4-FFF2-40B4-BE49-F238E27FC236}">
              <a16:creationId xmlns:a16="http://schemas.microsoft.com/office/drawing/2014/main" id="{095613CD-6375-4C99-AD3A-FF70FA46D016}"/>
            </a:ext>
          </a:extLst>
        </xdr:cNvPr>
        <xdr:cNvSpPr txBox="1"/>
      </xdr:nvSpPr>
      <xdr:spPr>
        <a:xfrm>
          <a:off x="15434425" y="5177474"/>
          <a:ext cx="1197168"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ID" sz="900">
              <a:solidFill>
                <a:schemeClr val="bg1"/>
              </a:solidFill>
              <a:effectLst/>
              <a:latin typeface="+mn-lt"/>
              <a:ea typeface="+mn-ea"/>
              <a:cs typeface="+mn-cs"/>
            </a:rPr>
            <a:t>Avg.</a:t>
          </a:r>
          <a:r>
            <a:rPr lang="en-ID" sz="900" baseline="0">
              <a:solidFill>
                <a:schemeClr val="bg1"/>
              </a:solidFill>
              <a:effectLst/>
              <a:latin typeface="+mn-lt"/>
              <a:ea typeface="+mn-ea"/>
              <a:cs typeface="+mn-cs"/>
            </a:rPr>
            <a:t> Goal Fastbreak</a:t>
          </a:r>
          <a:endParaRPr lang="en-ID" sz="900">
            <a:solidFill>
              <a:schemeClr val="bg1"/>
            </a:solidFill>
            <a:effectLst/>
          </a:endParaRPr>
        </a:p>
      </xdr:txBody>
    </xdr:sp>
    <xdr:clientData/>
  </xdr:oneCellAnchor>
  <xdr:twoCellAnchor>
    <xdr:from>
      <xdr:col>25</xdr:col>
      <xdr:colOff>60523</xdr:colOff>
      <xdr:row>29</xdr:row>
      <xdr:rowOff>135679</xdr:rowOff>
    </xdr:from>
    <xdr:to>
      <xdr:col>25</xdr:col>
      <xdr:colOff>254803</xdr:colOff>
      <xdr:row>30</xdr:row>
      <xdr:rowOff>117920</xdr:rowOff>
    </xdr:to>
    <xdr:sp macro="" textlink="">
      <xdr:nvSpPr>
        <xdr:cNvPr id="55" name="Rectangle 54">
          <a:extLst>
            <a:ext uri="{FF2B5EF4-FFF2-40B4-BE49-F238E27FC236}">
              <a16:creationId xmlns:a16="http://schemas.microsoft.com/office/drawing/2014/main" id="{5E56020B-010A-4EE4-A2CF-6F692BA4AF43}"/>
            </a:ext>
          </a:extLst>
        </xdr:cNvPr>
        <xdr:cNvSpPr/>
      </xdr:nvSpPr>
      <xdr:spPr>
        <a:xfrm>
          <a:off x="15300523" y="5516062"/>
          <a:ext cx="194280" cy="167771"/>
        </a:xfrm>
        <a:prstGeom prst="rect">
          <a:avLst/>
        </a:prstGeom>
        <a:solidFill>
          <a:srgbClr val="FFFF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oneCellAnchor>
    <xdr:from>
      <xdr:col>25</xdr:col>
      <xdr:colOff>220973</xdr:colOff>
      <xdr:row>29</xdr:row>
      <xdr:rowOff>98670</xdr:rowOff>
    </xdr:from>
    <xdr:ext cx="1071662" cy="233205"/>
    <xdr:sp macro="" textlink="">
      <xdr:nvSpPr>
        <xdr:cNvPr id="56" name="TextBox 55">
          <a:extLst>
            <a:ext uri="{FF2B5EF4-FFF2-40B4-BE49-F238E27FC236}">
              <a16:creationId xmlns:a16="http://schemas.microsoft.com/office/drawing/2014/main" id="{E76F93CE-00A0-4D28-BAAD-CCF2DDF28F80}"/>
            </a:ext>
          </a:extLst>
        </xdr:cNvPr>
        <xdr:cNvSpPr txBox="1"/>
      </xdr:nvSpPr>
      <xdr:spPr>
        <a:xfrm>
          <a:off x="15460973" y="5479053"/>
          <a:ext cx="1071662"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ID" sz="900">
              <a:solidFill>
                <a:schemeClr val="bg1"/>
              </a:solidFill>
              <a:effectLst/>
              <a:latin typeface="+mn-lt"/>
              <a:ea typeface="+mn-ea"/>
              <a:cs typeface="+mn-cs"/>
            </a:rPr>
            <a:t>Avg.</a:t>
          </a:r>
          <a:r>
            <a:rPr lang="en-ID" sz="900" baseline="0">
              <a:solidFill>
                <a:schemeClr val="bg1"/>
              </a:solidFill>
              <a:effectLst/>
              <a:latin typeface="+mn-lt"/>
              <a:ea typeface="+mn-ea"/>
              <a:cs typeface="+mn-cs"/>
            </a:rPr>
            <a:t> Freekick Goal</a:t>
          </a:r>
          <a:endParaRPr lang="en-ID" sz="900">
            <a:solidFill>
              <a:schemeClr val="bg1"/>
            </a:solidFill>
            <a:effectLst/>
          </a:endParaRPr>
        </a:p>
      </xdr:txBody>
    </xdr:sp>
    <xdr:clientData/>
  </xdr:oneCellAnchor>
  <xdr:twoCellAnchor editAs="oneCell">
    <xdr:from>
      <xdr:col>0</xdr:col>
      <xdr:colOff>294938</xdr:colOff>
      <xdr:row>5</xdr:row>
      <xdr:rowOff>78440</xdr:rowOff>
    </xdr:from>
    <xdr:to>
      <xdr:col>4</xdr:col>
      <xdr:colOff>573741</xdr:colOff>
      <xdr:row>31</xdr:row>
      <xdr:rowOff>59266</xdr:rowOff>
    </xdr:to>
    <mc:AlternateContent xmlns:mc="http://schemas.openxmlformats.org/markup-compatibility/2006" xmlns:a14="http://schemas.microsoft.com/office/drawing/2010/main">
      <mc:Choice Requires="a14">
        <xdr:graphicFrame macro="">
          <xdr:nvGraphicFramePr>
            <xdr:cNvPr id="57" name="team 1">
              <a:extLst>
                <a:ext uri="{FF2B5EF4-FFF2-40B4-BE49-F238E27FC236}">
                  <a16:creationId xmlns:a16="http://schemas.microsoft.com/office/drawing/2014/main" id="{8B0FC3E4-E17E-43E8-8D1D-52D589DC43A1}"/>
                </a:ext>
              </a:extLst>
            </xdr:cNvPr>
            <xdr:cNvGraphicFramePr/>
          </xdr:nvGraphicFramePr>
          <xdr:xfrm>
            <a:off x="0" y="0"/>
            <a:ext cx="0" cy="0"/>
          </xdr:xfrm>
          <a:graphic>
            <a:graphicData uri="http://schemas.microsoft.com/office/drawing/2010/slicer">
              <sle:slicer xmlns:sle="http://schemas.microsoft.com/office/drawing/2010/slicer" name="team 1"/>
            </a:graphicData>
          </a:graphic>
        </xdr:graphicFrame>
      </mc:Choice>
      <mc:Fallback xmlns="">
        <xdr:sp macro="" textlink="">
          <xdr:nvSpPr>
            <xdr:cNvPr id="0" name=""/>
            <xdr:cNvSpPr>
              <a:spLocks noTextEdit="1"/>
            </xdr:cNvSpPr>
          </xdr:nvSpPr>
          <xdr:spPr>
            <a:xfrm>
              <a:off x="294938" y="974911"/>
              <a:ext cx="2717203" cy="4642473"/>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277906</xdr:colOff>
      <xdr:row>5</xdr:row>
      <xdr:rowOff>89647</xdr:rowOff>
    </xdr:from>
    <xdr:to>
      <xdr:col>1</xdr:col>
      <xdr:colOff>233082</xdr:colOff>
      <xdr:row>6</xdr:row>
      <xdr:rowOff>125506</xdr:rowOff>
    </xdr:to>
    <xdr:sp macro="" textlink="">
      <xdr:nvSpPr>
        <xdr:cNvPr id="58" name="Rectangle 57">
          <a:extLst>
            <a:ext uri="{FF2B5EF4-FFF2-40B4-BE49-F238E27FC236}">
              <a16:creationId xmlns:a16="http://schemas.microsoft.com/office/drawing/2014/main" id="{6DD0F895-5963-419D-B1D1-AEA287A52632}"/>
            </a:ext>
          </a:extLst>
        </xdr:cNvPr>
        <xdr:cNvSpPr/>
      </xdr:nvSpPr>
      <xdr:spPr>
        <a:xfrm>
          <a:off x="277906" y="1017299"/>
          <a:ext cx="564776" cy="22139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xdr:from>
      <xdr:col>0</xdr:col>
      <xdr:colOff>355115</xdr:colOff>
      <xdr:row>5</xdr:row>
      <xdr:rowOff>10962</xdr:rowOff>
    </xdr:from>
    <xdr:to>
      <xdr:col>1</xdr:col>
      <xdr:colOff>572814</xdr:colOff>
      <xdr:row>6</xdr:row>
      <xdr:rowOff>105590</xdr:rowOff>
    </xdr:to>
    <xdr:sp macro="" textlink="">
      <xdr:nvSpPr>
        <xdr:cNvPr id="59" name="Rectangle: Rounded Corners 58">
          <a:extLst>
            <a:ext uri="{FF2B5EF4-FFF2-40B4-BE49-F238E27FC236}">
              <a16:creationId xmlns:a16="http://schemas.microsoft.com/office/drawing/2014/main" id="{3D9EF969-1B95-4405-B653-A1BB61276F0F}"/>
            </a:ext>
          </a:extLst>
        </xdr:cNvPr>
        <xdr:cNvSpPr/>
      </xdr:nvSpPr>
      <xdr:spPr>
        <a:xfrm>
          <a:off x="355115" y="938614"/>
          <a:ext cx="827299" cy="280159"/>
        </a:xfrm>
        <a:prstGeom prst="roundRect">
          <a:avLst>
            <a:gd name="adj" fmla="val 50000"/>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editAs="oneCell">
    <xdr:from>
      <xdr:col>0</xdr:col>
      <xdr:colOff>432471</xdr:colOff>
      <xdr:row>5</xdr:row>
      <xdr:rowOff>26278</xdr:rowOff>
    </xdr:from>
    <xdr:to>
      <xdr:col>1</xdr:col>
      <xdr:colOff>57809</xdr:colOff>
      <xdr:row>6</xdr:row>
      <xdr:rowOff>83681</xdr:rowOff>
    </xdr:to>
    <xdr:pic>
      <xdr:nvPicPr>
        <xdr:cNvPr id="60" name="Graphic 59" descr="Soccer ball outline">
          <a:extLst>
            <a:ext uri="{FF2B5EF4-FFF2-40B4-BE49-F238E27FC236}">
              <a16:creationId xmlns:a16="http://schemas.microsoft.com/office/drawing/2014/main" id="{4076C711-025C-4E12-BFE4-529E982B8AA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432471" y="953930"/>
          <a:ext cx="234938" cy="242934"/>
        </a:xfrm>
        <a:prstGeom prst="rect">
          <a:avLst/>
        </a:prstGeom>
      </xdr:spPr>
    </xdr:pic>
    <xdr:clientData/>
  </xdr:twoCellAnchor>
  <xdr:oneCellAnchor>
    <xdr:from>
      <xdr:col>1</xdr:col>
      <xdr:colOff>6122</xdr:colOff>
      <xdr:row>5</xdr:row>
      <xdr:rowOff>2902</xdr:rowOff>
    </xdr:from>
    <xdr:ext cx="503856" cy="264560"/>
    <xdr:sp macro="" textlink="">
      <xdr:nvSpPr>
        <xdr:cNvPr id="61" name="TextBox 60">
          <a:extLst>
            <a:ext uri="{FF2B5EF4-FFF2-40B4-BE49-F238E27FC236}">
              <a16:creationId xmlns:a16="http://schemas.microsoft.com/office/drawing/2014/main" id="{749F71CA-C6F4-4023-86B6-A413ABC6AD3A}"/>
            </a:ext>
          </a:extLst>
        </xdr:cNvPr>
        <xdr:cNvSpPr txBox="1"/>
      </xdr:nvSpPr>
      <xdr:spPr>
        <a:xfrm>
          <a:off x="615722" y="930554"/>
          <a:ext cx="50385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ID" sz="1100">
              <a:solidFill>
                <a:schemeClr val="bg1"/>
              </a:solidFill>
              <a:effectLst/>
              <a:latin typeface="+mn-lt"/>
              <a:ea typeface="+mn-ea"/>
              <a:cs typeface="+mn-cs"/>
            </a:rPr>
            <a:t>Team</a:t>
          </a:r>
          <a:endParaRPr lang="en-ID" sz="1100">
            <a:solidFill>
              <a:schemeClr val="bg1"/>
            </a:solidFill>
            <a:effectLst/>
          </a:endParaRPr>
        </a:p>
      </xdr:txBody>
    </xdr:sp>
    <xdr:clientData/>
  </xdr:oneCellAnchor>
  <xdr:twoCellAnchor editAs="oneCell">
    <xdr:from>
      <xdr:col>17</xdr:col>
      <xdr:colOff>223428</xdr:colOff>
      <xdr:row>5</xdr:row>
      <xdr:rowOff>76292</xdr:rowOff>
    </xdr:from>
    <xdr:to>
      <xdr:col>17</xdr:col>
      <xdr:colOff>448219</xdr:colOff>
      <xdr:row>6</xdr:row>
      <xdr:rowOff>116542</xdr:rowOff>
    </xdr:to>
    <xdr:pic macro="[0]!Sheet10.Change_info_goal_percentage_Visibility">
      <xdr:nvPicPr>
        <xdr:cNvPr id="62" name="info_button_goal_percentage" descr="Information with solid fill">
          <a:extLst>
            <a:ext uri="{FF2B5EF4-FFF2-40B4-BE49-F238E27FC236}">
              <a16:creationId xmlns:a16="http://schemas.microsoft.com/office/drawing/2014/main" id="{C6D3172F-EBBD-4A01-9E1C-FE3C2D6C285B}"/>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10586628" y="1003944"/>
          <a:ext cx="224791" cy="225781"/>
        </a:xfrm>
        <a:prstGeom prst="rect">
          <a:avLst/>
        </a:prstGeom>
      </xdr:spPr>
    </xdr:pic>
    <xdr:clientData/>
  </xdr:twoCellAnchor>
  <xdr:twoCellAnchor>
    <xdr:from>
      <xdr:col>15</xdr:col>
      <xdr:colOff>57686</xdr:colOff>
      <xdr:row>6</xdr:row>
      <xdr:rowOff>139929</xdr:rowOff>
    </xdr:from>
    <xdr:to>
      <xdr:col>17</xdr:col>
      <xdr:colOff>448626</xdr:colOff>
      <xdr:row>9</xdr:row>
      <xdr:rowOff>393</xdr:rowOff>
    </xdr:to>
    <xdr:grpSp>
      <xdr:nvGrpSpPr>
        <xdr:cNvPr id="63" name="info_box_goal_percentage" hidden="1">
          <a:extLst>
            <a:ext uri="{FF2B5EF4-FFF2-40B4-BE49-F238E27FC236}">
              <a16:creationId xmlns:a16="http://schemas.microsoft.com/office/drawing/2014/main" id="{03259781-A710-4A67-8909-A3333BEDF145}"/>
            </a:ext>
          </a:extLst>
        </xdr:cNvPr>
        <xdr:cNvGrpSpPr/>
      </xdr:nvGrpSpPr>
      <xdr:grpSpPr>
        <a:xfrm>
          <a:off x="9201686" y="1215694"/>
          <a:ext cx="1610140" cy="398346"/>
          <a:chOff x="9183757" y="1199322"/>
          <a:chExt cx="1610140" cy="410818"/>
        </a:xfrm>
      </xdr:grpSpPr>
      <xdr:sp macro="" textlink="">
        <xdr:nvSpPr>
          <xdr:cNvPr id="64" name="Rectangle 63" hidden="1">
            <a:extLst>
              <a:ext uri="{FF2B5EF4-FFF2-40B4-BE49-F238E27FC236}">
                <a16:creationId xmlns:a16="http://schemas.microsoft.com/office/drawing/2014/main" id="{33D25D64-CB09-344E-4681-1479A79859D6}"/>
              </a:ext>
            </a:extLst>
          </xdr:cNvPr>
          <xdr:cNvSpPr/>
        </xdr:nvSpPr>
        <xdr:spPr>
          <a:xfrm>
            <a:off x="9203635" y="1207508"/>
            <a:ext cx="1583635" cy="402632"/>
          </a:xfrm>
          <a:prstGeom prst="rect">
            <a:avLst/>
          </a:prstGeom>
          <a:solidFill>
            <a:schemeClr val="bg1">
              <a:alpha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sp macro="" textlink="">
        <xdr:nvSpPr>
          <xdr:cNvPr id="65" name="TextBox 64" hidden="1">
            <a:extLst>
              <a:ext uri="{FF2B5EF4-FFF2-40B4-BE49-F238E27FC236}">
                <a16:creationId xmlns:a16="http://schemas.microsoft.com/office/drawing/2014/main" id="{08697A5F-6AB9-B79B-39C8-1127D634A669}"/>
              </a:ext>
            </a:extLst>
          </xdr:cNvPr>
          <xdr:cNvSpPr txBox="1"/>
        </xdr:nvSpPr>
        <xdr:spPr>
          <a:xfrm>
            <a:off x="9183757" y="1199322"/>
            <a:ext cx="1610140" cy="4041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D" sz="900"/>
              <a:t>Definition of 'Goal Percentage'</a:t>
            </a:r>
          </a:p>
          <a:p>
            <a:r>
              <a:rPr lang="en-ID" sz="900"/>
              <a:t>is</a:t>
            </a:r>
            <a:r>
              <a:rPr lang="en-ID" sz="900" baseline="0"/>
              <a:t> Goal devided by on Target</a:t>
            </a:r>
            <a:endParaRPr lang="en-ID" sz="900"/>
          </a:p>
        </xdr:txBody>
      </xdr:sp>
    </xdr:grpSp>
    <xdr:clientData/>
  </xdr:twoCellAnchor>
  <xdr:twoCellAnchor>
    <xdr:from>
      <xdr:col>15</xdr:col>
      <xdr:colOff>39757</xdr:colOff>
      <xdr:row>20</xdr:row>
      <xdr:rowOff>27675</xdr:rowOff>
    </xdr:from>
    <xdr:to>
      <xdr:col>17</xdr:col>
      <xdr:colOff>430697</xdr:colOff>
      <xdr:row>22</xdr:row>
      <xdr:rowOff>67432</xdr:rowOff>
    </xdr:to>
    <xdr:grpSp>
      <xdr:nvGrpSpPr>
        <xdr:cNvPr id="67" name="info_box_failed_attempt" hidden="1">
          <a:extLst>
            <a:ext uri="{FF2B5EF4-FFF2-40B4-BE49-F238E27FC236}">
              <a16:creationId xmlns:a16="http://schemas.microsoft.com/office/drawing/2014/main" id="{B34946B8-1FB2-4C29-8268-C8C18CE1023C}"/>
            </a:ext>
          </a:extLst>
        </xdr:cNvPr>
        <xdr:cNvGrpSpPr/>
      </xdr:nvGrpSpPr>
      <xdr:grpSpPr>
        <a:xfrm>
          <a:off x="9183757" y="3613557"/>
          <a:ext cx="1610140" cy="398346"/>
          <a:chOff x="9183757" y="1199322"/>
          <a:chExt cx="1610140" cy="410818"/>
        </a:xfrm>
      </xdr:grpSpPr>
      <xdr:sp macro="" textlink="">
        <xdr:nvSpPr>
          <xdr:cNvPr id="68" name="Rectangle 67" hidden="1">
            <a:extLst>
              <a:ext uri="{FF2B5EF4-FFF2-40B4-BE49-F238E27FC236}">
                <a16:creationId xmlns:a16="http://schemas.microsoft.com/office/drawing/2014/main" id="{861439CE-A3AF-EE5A-2F25-B568D79F0230}"/>
              </a:ext>
            </a:extLst>
          </xdr:cNvPr>
          <xdr:cNvSpPr/>
        </xdr:nvSpPr>
        <xdr:spPr>
          <a:xfrm>
            <a:off x="9203635" y="1207508"/>
            <a:ext cx="1583635" cy="402632"/>
          </a:xfrm>
          <a:prstGeom prst="rect">
            <a:avLst/>
          </a:prstGeom>
          <a:solidFill>
            <a:schemeClr val="bg1">
              <a:alpha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sp macro="" textlink="">
        <xdr:nvSpPr>
          <xdr:cNvPr id="69" name="TextBox 68" hidden="1">
            <a:extLst>
              <a:ext uri="{FF2B5EF4-FFF2-40B4-BE49-F238E27FC236}">
                <a16:creationId xmlns:a16="http://schemas.microsoft.com/office/drawing/2014/main" id="{00910529-B569-CE4D-F294-7687185CB510}"/>
              </a:ext>
            </a:extLst>
          </xdr:cNvPr>
          <xdr:cNvSpPr txBox="1"/>
        </xdr:nvSpPr>
        <xdr:spPr>
          <a:xfrm>
            <a:off x="9183757" y="1199322"/>
            <a:ext cx="1610140" cy="4041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D" sz="900"/>
              <a:t>Definition of 'Failed Attempt'</a:t>
            </a:r>
          </a:p>
          <a:p>
            <a:r>
              <a:rPr lang="en-ID" sz="900"/>
              <a:t>is</a:t>
            </a:r>
            <a:r>
              <a:rPr lang="en-ID" sz="900" baseline="0"/>
              <a:t> ....</a:t>
            </a:r>
            <a:endParaRPr lang="en-ID" sz="900"/>
          </a:p>
        </xdr:txBody>
      </xdr:sp>
    </xdr:grpSp>
    <xdr:clientData/>
  </xdr:twoCellAnchor>
  <xdr:twoCellAnchor>
    <xdr:from>
      <xdr:col>20</xdr:col>
      <xdr:colOff>233082</xdr:colOff>
      <xdr:row>6</xdr:row>
      <xdr:rowOff>135251</xdr:rowOff>
    </xdr:from>
    <xdr:to>
      <xdr:col>22</xdr:col>
      <xdr:colOff>350016</xdr:colOff>
      <xdr:row>8</xdr:row>
      <xdr:rowOff>175009</xdr:rowOff>
    </xdr:to>
    <xdr:grpSp>
      <xdr:nvGrpSpPr>
        <xdr:cNvPr id="71" name="info_box_goal_area" hidden="1">
          <a:extLst>
            <a:ext uri="{FF2B5EF4-FFF2-40B4-BE49-F238E27FC236}">
              <a16:creationId xmlns:a16="http://schemas.microsoft.com/office/drawing/2014/main" id="{AB71DA62-A0F2-4C85-B9CC-F6079FA87BC4}"/>
            </a:ext>
          </a:extLst>
        </xdr:cNvPr>
        <xdr:cNvGrpSpPr/>
      </xdr:nvGrpSpPr>
      <xdr:grpSpPr>
        <a:xfrm>
          <a:off x="12425082" y="1211016"/>
          <a:ext cx="1336134" cy="398346"/>
          <a:chOff x="9183757" y="1199322"/>
          <a:chExt cx="1610140" cy="410818"/>
        </a:xfrm>
      </xdr:grpSpPr>
      <xdr:sp macro="" textlink="">
        <xdr:nvSpPr>
          <xdr:cNvPr id="72" name="Rectangle 71" hidden="1">
            <a:extLst>
              <a:ext uri="{FF2B5EF4-FFF2-40B4-BE49-F238E27FC236}">
                <a16:creationId xmlns:a16="http://schemas.microsoft.com/office/drawing/2014/main" id="{777F58A5-64B0-0AA7-0505-48B81A2580A8}"/>
              </a:ext>
            </a:extLst>
          </xdr:cNvPr>
          <xdr:cNvSpPr/>
        </xdr:nvSpPr>
        <xdr:spPr>
          <a:xfrm>
            <a:off x="9203635" y="1207508"/>
            <a:ext cx="1583635" cy="402632"/>
          </a:xfrm>
          <a:prstGeom prst="rect">
            <a:avLst/>
          </a:prstGeom>
          <a:solidFill>
            <a:schemeClr val="bg1">
              <a:alpha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sp macro="" textlink="">
        <xdr:nvSpPr>
          <xdr:cNvPr id="73" name="TextBox 72" hidden="1">
            <a:extLst>
              <a:ext uri="{FF2B5EF4-FFF2-40B4-BE49-F238E27FC236}">
                <a16:creationId xmlns:a16="http://schemas.microsoft.com/office/drawing/2014/main" id="{2CE88567-73EE-2C96-4D13-C6FFBDB18DA1}"/>
              </a:ext>
            </a:extLst>
          </xdr:cNvPr>
          <xdr:cNvSpPr txBox="1"/>
        </xdr:nvSpPr>
        <xdr:spPr>
          <a:xfrm>
            <a:off x="9183757" y="1199322"/>
            <a:ext cx="1610140" cy="4041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D" sz="900"/>
              <a:t>Definition of 'Goal Area'</a:t>
            </a:r>
            <a:r>
              <a:rPr lang="en-ID" sz="900" baseline="0"/>
              <a:t> </a:t>
            </a:r>
            <a:r>
              <a:rPr lang="en-ID" sz="900"/>
              <a:t>is</a:t>
            </a:r>
            <a:r>
              <a:rPr lang="en-ID" sz="900" baseline="0"/>
              <a:t> ...</a:t>
            </a:r>
            <a:endParaRPr lang="en-ID" sz="900"/>
          </a:p>
        </xdr:txBody>
      </xdr:sp>
    </xdr:grpSp>
    <xdr:clientData/>
  </xdr:twoCellAnchor>
  <xdr:twoCellAnchor>
    <xdr:from>
      <xdr:col>24</xdr:col>
      <xdr:colOff>277905</xdr:colOff>
      <xdr:row>6</xdr:row>
      <xdr:rowOff>144214</xdr:rowOff>
    </xdr:from>
    <xdr:to>
      <xdr:col>26</xdr:col>
      <xdr:colOff>538274</xdr:colOff>
      <xdr:row>9</xdr:row>
      <xdr:rowOff>4678</xdr:rowOff>
    </xdr:to>
    <xdr:grpSp>
      <xdr:nvGrpSpPr>
        <xdr:cNvPr id="75" name="info_box_goal_statistic" hidden="1">
          <a:extLst>
            <a:ext uri="{FF2B5EF4-FFF2-40B4-BE49-F238E27FC236}">
              <a16:creationId xmlns:a16="http://schemas.microsoft.com/office/drawing/2014/main" id="{26D9AD21-7ED2-4D99-94DA-024BD53FF551}"/>
            </a:ext>
          </a:extLst>
        </xdr:cNvPr>
        <xdr:cNvGrpSpPr/>
      </xdr:nvGrpSpPr>
      <xdr:grpSpPr>
        <a:xfrm>
          <a:off x="14908305" y="1219979"/>
          <a:ext cx="1479569" cy="398346"/>
          <a:chOff x="9183757" y="1199322"/>
          <a:chExt cx="1610140" cy="410818"/>
        </a:xfrm>
      </xdr:grpSpPr>
      <xdr:sp macro="" textlink="">
        <xdr:nvSpPr>
          <xdr:cNvPr id="76" name="Rectangle 75" hidden="1">
            <a:extLst>
              <a:ext uri="{FF2B5EF4-FFF2-40B4-BE49-F238E27FC236}">
                <a16:creationId xmlns:a16="http://schemas.microsoft.com/office/drawing/2014/main" id="{CA5152F4-F941-A60A-D420-D98CA1C8DC6B}"/>
              </a:ext>
            </a:extLst>
          </xdr:cNvPr>
          <xdr:cNvSpPr/>
        </xdr:nvSpPr>
        <xdr:spPr>
          <a:xfrm>
            <a:off x="9203635" y="1207508"/>
            <a:ext cx="1583635" cy="402632"/>
          </a:xfrm>
          <a:prstGeom prst="rect">
            <a:avLst/>
          </a:prstGeom>
          <a:solidFill>
            <a:schemeClr val="bg1">
              <a:alpha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sp macro="" textlink="">
        <xdr:nvSpPr>
          <xdr:cNvPr id="77" name="TextBox 76" hidden="1">
            <a:extLst>
              <a:ext uri="{FF2B5EF4-FFF2-40B4-BE49-F238E27FC236}">
                <a16:creationId xmlns:a16="http://schemas.microsoft.com/office/drawing/2014/main" id="{3C3064A8-30DA-A3FF-CEBF-55FE9B1D9FCD}"/>
              </a:ext>
            </a:extLst>
          </xdr:cNvPr>
          <xdr:cNvSpPr txBox="1"/>
        </xdr:nvSpPr>
        <xdr:spPr>
          <a:xfrm>
            <a:off x="9183757" y="1199322"/>
            <a:ext cx="1610140" cy="4041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D" sz="900"/>
              <a:t>Definition of 'Goal Statistic'</a:t>
            </a:r>
          </a:p>
          <a:p>
            <a:r>
              <a:rPr lang="en-ID" sz="900"/>
              <a:t>is</a:t>
            </a:r>
            <a:r>
              <a:rPr lang="en-ID" sz="900" baseline="0"/>
              <a:t> ...</a:t>
            </a:r>
            <a:endParaRPr lang="en-ID" sz="900"/>
          </a:p>
        </xdr:txBody>
      </xdr:sp>
    </xdr:grpSp>
    <xdr:clientData/>
  </xdr:twoCellAnchor>
  <xdr:twoCellAnchor>
    <xdr:from>
      <xdr:col>19</xdr:col>
      <xdr:colOff>237565</xdr:colOff>
      <xdr:row>24</xdr:row>
      <xdr:rowOff>91441</xdr:rowOff>
    </xdr:from>
    <xdr:to>
      <xdr:col>21</xdr:col>
      <xdr:colOff>366521</xdr:colOff>
      <xdr:row>31</xdr:row>
      <xdr:rowOff>101769</xdr:rowOff>
    </xdr:to>
    <xdr:graphicFrame macro="">
      <xdr:nvGraphicFramePr>
        <xdr:cNvPr id="87" name="Chart 86">
          <a:extLst>
            <a:ext uri="{FF2B5EF4-FFF2-40B4-BE49-F238E27FC236}">
              <a16:creationId xmlns:a16="http://schemas.microsoft.com/office/drawing/2014/main" id="{FCD62FF7-769B-4199-8448-92C6A0E1E8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19</xdr:col>
      <xdr:colOff>238326</xdr:colOff>
      <xdr:row>12</xdr:row>
      <xdr:rowOff>83821</xdr:rowOff>
    </xdr:from>
    <xdr:to>
      <xdr:col>21</xdr:col>
      <xdr:colOff>367282</xdr:colOff>
      <xdr:row>19</xdr:row>
      <xdr:rowOff>94149</xdr:rowOff>
    </xdr:to>
    <xdr:graphicFrame macro="">
      <xdr:nvGraphicFramePr>
        <xdr:cNvPr id="90" name="Chart 89">
          <a:extLst>
            <a:ext uri="{FF2B5EF4-FFF2-40B4-BE49-F238E27FC236}">
              <a16:creationId xmlns:a16="http://schemas.microsoft.com/office/drawing/2014/main" id="{B6E54EC4-F390-476D-B90A-9351EE24287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oneCellAnchor>
    <xdr:from>
      <xdr:col>19</xdr:col>
      <xdr:colOff>393126</xdr:colOff>
      <xdr:row>8</xdr:row>
      <xdr:rowOff>45875</xdr:rowOff>
    </xdr:from>
    <xdr:ext cx="1053734" cy="233205"/>
    <xdr:sp macro="" textlink="">
      <xdr:nvSpPr>
        <xdr:cNvPr id="97" name="TextBox 96">
          <a:extLst>
            <a:ext uri="{FF2B5EF4-FFF2-40B4-BE49-F238E27FC236}">
              <a16:creationId xmlns:a16="http://schemas.microsoft.com/office/drawing/2014/main" id="{1B1DA356-BEA6-4F33-A5EF-8E98BB38FB44}"/>
            </a:ext>
          </a:extLst>
        </xdr:cNvPr>
        <xdr:cNvSpPr txBox="1"/>
      </xdr:nvSpPr>
      <xdr:spPr>
        <a:xfrm>
          <a:off x="11975526" y="1536008"/>
          <a:ext cx="1053734"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ID" sz="900">
              <a:solidFill>
                <a:schemeClr val="bg1"/>
              </a:solidFill>
              <a:effectLst/>
              <a:latin typeface="+mn-lt"/>
              <a:ea typeface="+mn-ea"/>
              <a:cs typeface="+mn-cs"/>
            </a:rPr>
            <a:t>2015-2016</a:t>
          </a:r>
          <a:endParaRPr lang="en-ID" sz="900">
            <a:solidFill>
              <a:schemeClr val="bg1"/>
            </a:solidFill>
            <a:effectLst/>
          </a:endParaRPr>
        </a:p>
      </xdr:txBody>
    </xdr:sp>
    <xdr:clientData/>
  </xdr:oneCellAnchor>
  <xdr:oneCellAnchor>
    <xdr:from>
      <xdr:col>19</xdr:col>
      <xdr:colOff>396318</xdr:colOff>
      <xdr:row>16</xdr:row>
      <xdr:rowOff>78176</xdr:rowOff>
    </xdr:from>
    <xdr:ext cx="1053734" cy="233205"/>
    <xdr:sp macro="" textlink="">
      <xdr:nvSpPr>
        <xdr:cNvPr id="98" name="TextBox 97">
          <a:extLst>
            <a:ext uri="{FF2B5EF4-FFF2-40B4-BE49-F238E27FC236}">
              <a16:creationId xmlns:a16="http://schemas.microsoft.com/office/drawing/2014/main" id="{FA264EAB-619E-462A-B86A-AE2C6B4E2737}"/>
            </a:ext>
          </a:extLst>
        </xdr:cNvPr>
        <xdr:cNvSpPr txBox="1"/>
      </xdr:nvSpPr>
      <xdr:spPr>
        <a:xfrm>
          <a:off x="11978718" y="3058443"/>
          <a:ext cx="1053734"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ID" sz="900">
              <a:solidFill>
                <a:schemeClr val="bg1"/>
              </a:solidFill>
              <a:effectLst/>
              <a:latin typeface="+mn-lt"/>
              <a:ea typeface="+mn-ea"/>
              <a:cs typeface="+mn-cs"/>
            </a:rPr>
            <a:t>2016-2017</a:t>
          </a:r>
          <a:endParaRPr lang="en-ID" sz="900">
            <a:solidFill>
              <a:schemeClr val="bg1"/>
            </a:solidFill>
            <a:effectLst/>
          </a:endParaRPr>
        </a:p>
      </xdr:txBody>
    </xdr:sp>
    <xdr:clientData/>
  </xdr:oneCellAnchor>
  <xdr:oneCellAnchor>
    <xdr:from>
      <xdr:col>19</xdr:col>
      <xdr:colOff>387065</xdr:colOff>
      <xdr:row>24</xdr:row>
      <xdr:rowOff>25371</xdr:rowOff>
    </xdr:from>
    <xdr:ext cx="1053734" cy="233205"/>
    <xdr:sp macro="" textlink="">
      <xdr:nvSpPr>
        <xdr:cNvPr id="99" name="TextBox 98">
          <a:extLst>
            <a:ext uri="{FF2B5EF4-FFF2-40B4-BE49-F238E27FC236}">
              <a16:creationId xmlns:a16="http://schemas.microsoft.com/office/drawing/2014/main" id="{8131388B-14DD-42A1-8565-F9BD65093161}"/>
            </a:ext>
          </a:extLst>
        </xdr:cNvPr>
        <xdr:cNvSpPr txBox="1"/>
      </xdr:nvSpPr>
      <xdr:spPr>
        <a:xfrm>
          <a:off x="11969465" y="4495771"/>
          <a:ext cx="1053734"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ID" sz="900">
              <a:solidFill>
                <a:schemeClr val="bg1"/>
              </a:solidFill>
              <a:effectLst/>
              <a:latin typeface="+mn-lt"/>
              <a:ea typeface="+mn-ea"/>
              <a:cs typeface="+mn-cs"/>
            </a:rPr>
            <a:t>2017-2018</a:t>
          </a:r>
          <a:endParaRPr lang="en-ID" sz="900">
            <a:solidFill>
              <a:schemeClr val="bg1"/>
            </a:solidFill>
            <a:effectLst/>
          </a:endParaRPr>
        </a:p>
      </xdr:txBody>
    </xdr:sp>
    <xdr:clientData/>
  </xdr:oneCellAnchor>
  <xdr:oneCellAnchor>
    <xdr:from>
      <xdr:col>18</xdr:col>
      <xdr:colOff>531904</xdr:colOff>
      <xdr:row>10</xdr:row>
      <xdr:rowOff>138950</xdr:rowOff>
    </xdr:from>
    <xdr:ext cx="716671" cy="468013"/>
    <xdr:sp macro="" textlink="goal_area!$E$5">
      <xdr:nvSpPr>
        <xdr:cNvPr id="101" name="TextBox 100">
          <a:extLst>
            <a:ext uri="{FF2B5EF4-FFF2-40B4-BE49-F238E27FC236}">
              <a16:creationId xmlns:a16="http://schemas.microsoft.com/office/drawing/2014/main" id="{C344586E-A5A8-41FB-8AA0-E55E1ADEC7F0}"/>
            </a:ext>
          </a:extLst>
        </xdr:cNvPr>
        <xdr:cNvSpPr txBox="1"/>
      </xdr:nvSpPr>
      <xdr:spPr>
        <a:xfrm>
          <a:off x="11504704" y="2001617"/>
          <a:ext cx="716671"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63B25F37-4BDD-4B3C-BC95-3788D1DD45B4}" type="TxLink">
            <a:rPr lang="en-US" sz="2400" b="0" i="0" u="none" strike="noStrike">
              <a:solidFill>
                <a:srgbClr val="000000"/>
              </a:solidFill>
              <a:latin typeface="Calibri"/>
              <a:cs typeface="Calibri"/>
            </a:rPr>
            <a:pPr/>
            <a:t>86%</a:t>
          </a:fld>
          <a:endParaRPr lang="en-ID" sz="2400"/>
        </a:p>
      </xdr:txBody>
    </xdr:sp>
    <xdr:clientData/>
  </xdr:oneCellAnchor>
  <xdr:twoCellAnchor>
    <xdr:from>
      <xdr:col>18</xdr:col>
      <xdr:colOff>181536</xdr:colOff>
      <xdr:row>7</xdr:row>
      <xdr:rowOff>168729</xdr:rowOff>
    </xdr:from>
    <xdr:to>
      <xdr:col>20</xdr:col>
      <xdr:colOff>358589</xdr:colOff>
      <xdr:row>16</xdr:row>
      <xdr:rowOff>89648</xdr:rowOff>
    </xdr:to>
    <xdr:graphicFrame macro="">
      <xdr:nvGraphicFramePr>
        <xdr:cNvPr id="102" name="Chart 101">
          <a:extLst>
            <a:ext uri="{FF2B5EF4-FFF2-40B4-BE49-F238E27FC236}">
              <a16:creationId xmlns:a16="http://schemas.microsoft.com/office/drawing/2014/main" id="{84E784D9-B330-41C2-BEE0-EEA7825897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18</xdr:col>
      <xdr:colOff>109817</xdr:colOff>
      <xdr:row>16</xdr:row>
      <xdr:rowOff>53786</xdr:rowOff>
    </xdr:from>
    <xdr:to>
      <xdr:col>20</xdr:col>
      <xdr:colOff>430305</xdr:colOff>
      <xdr:row>24</xdr:row>
      <xdr:rowOff>8963</xdr:rowOff>
    </xdr:to>
    <xdr:graphicFrame macro="">
      <xdr:nvGraphicFramePr>
        <xdr:cNvPr id="104" name="Chart 103">
          <a:extLst>
            <a:ext uri="{FF2B5EF4-FFF2-40B4-BE49-F238E27FC236}">
              <a16:creationId xmlns:a16="http://schemas.microsoft.com/office/drawing/2014/main" id="{D2AB0B8A-F3A0-4FC4-ADE5-6BC4AA7571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oneCellAnchor>
    <xdr:from>
      <xdr:col>18</xdr:col>
      <xdr:colOff>538130</xdr:colOff>
      <xdr:row>18</xdr:row>
      <xdr:rowOff>159872</xdr:rowOff>
    </xdr:from>
    <xdr:ext cx="716671" cy="468013"/>
    <xdr:sp macro="" textlink="goal_area!$H$5">
      <xdr:nvSpPr>
        <xdr:cNvPr id="105" name="TextBox 104">
          <a:extLst>
            <a:ext uri="{FF2B5EF4-FFF2-40B4-BE49-F238E27FC236}">
              <a16:creationId xmlns:a16="http://schemas.microsoft.com/office/drawing/2014/main" id="{459F888B-C955-4144-86C0-BA063EB8C816}"/>
            </a:ext>
          </a:extLst>
        </xdr:cNvPr>
        <xdr:cNvSpPr txBox="1"/>
      </xdr:nvSpPr>
      <xdr:spPr>
        <a:xfrm>
          <a:off x="11510930" y="3512672"/>
          <a:ext cx="716671"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78FB7B44-AD2C-46E9-ADA2-CF500E408C59}" type="TxLink">
            <a:rPr lang="en-US" sz="2400" b="0" i="0" u="none" strike="noStrike">
              <a:solidFill>
                <a:srgbClr val="000000"/>
              </a:solidFill>
              <a:latin typeface="Calibri"/>
              <a:cs typeface="Calibri"/>
            </a:rPr>
            <a:pPr/>
            <a:t>89%</a:t>
          </a:fld>
          <a:endParaRPr lang="en-ID" sz="2400"/>
        </a:p>
      </xdr:txBody>
    </xdr:sp>
    <xdr:clientData/>
  </xdr:oneCellAnchor>
  <xdr:twoCellAnchor>
    <xdr:from>
      <xdr:col>18</xdr:col>
      <xdr:colOff>197227</xdr:colOff>
      <xdr:row>23</xdr:row>
      <xdr:rowOff>71723</xdr:rowOff>
    </xdr:from>
    <xdr:to>
      <xdr:col>20</xdr:col>
      <xdr:colOff>358588</xdr:colOff>
      <xdr:row>32</xdr:row>
      <xdr:rowOff>161368</xdr:rowOff>
    </xdr:to>
    <xdr:graphicFrame macro="">
      <xdr:nvGraphicFramePr>
        <xdr:cNvPr id="106" name="Chart 105">
          <a:extLst>
            <a:ext uri="{FF2B5EF4-FFF2-40B4-BE49-F238E27FC236}">
              <a16:creationId xmlns:a16="http://schemas.microsoft.com/office/drawing/2014/main" id="{F951C9D2-CECC-4A78-B1C3-6C52014CF1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oneCellAnchor>
    <xdr:from>
      <xdr:col>18</xdr:col>
      <xdr:colOff>538881</xdr:colOff>
      <xdr:row>26</xdr:row>
      <xdr:rowOff>152897</xdr:rowOff>
    </xdr:from>
    <xdr:ext cx="716671" cy="468013"/>
    <xdr:sp macro="" textlink="goal_area!$K$5">
      <xdr:nvSpPr>
        <xdr:cNvPr id="107" name="TextBox 106">
          <a:extLst>
            <a:ext uri="{FF2B5EF4-FFF2-40B4-BE49-F238E27FC236}">
              <a16:creationId xmlns:a16="http://schemas.microsoft.com/office/drawing/2014/main" id="{B2DE95F3-853E-4605-A0D9-CB309E582EFB}"/>
            </a:ext>
          </a:extLst>
        </xdr:cNvPr>
        <xdr:cNvSpPr txBox="1"/>
      </xdr:nvSpPr>
      <xdr:spPr>
        <a:xfrm>
          <a:off x="11511681" y="4995830"/>
          <a:ext cx="716671"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778E2F39-C763-4A57-A039-CF513C9E2BEB}" type="TxLink">
            <a:rPr lang="en-US" sz="2400" b="0" i="0" u="none" strike="noStrike">
              <a:solidFill>
                <a:srgbClr val="000000"/>
              </a:solidFill>
              <a:latin typeface="Calibri"/>
              <a:cs typeface="Calibri"/>
            </a:rPr>
            <a:pPr/>
            <a:t>87%</a:t>
          </a:fld>
          <a:endParaRPr lang="en-ID" sz="2400"/>
        </a:p>
      </xdr:txBody>
    </xdr:sp>
    <xdr:clientData/>
  </xdr:oneCellAnchor>
  <xdr:oneCellAnchor>
    <xdr:from>
      <xdr:col>21</xdr:col>
      <xdr:colOff>30382</xdr:colOff>
      <xdr:row>10</xdr:row>
      <xdr:rowOff>133473</xdr:rowOff>
    </xdr:from>
    <xdr:ext cx="716671" cy="468013"/>
    <xdr:sp macro="" textlink="goal_area!$E$10">
      <xdr:nvSpPr>
        <xdr:cNvPr id="109" name="TextBox 108">
          <a:extLst>
            <a:ext uri="{FF2B5EF4-FFF2-40B4-BE49-F238E27FC236}">
              <a16:creationId xmlns:a16="http://schemas.microsoft.com/office/drawing/2014/main" id="{079F64C4-24B3-4FBA-A2CC-D3284252391A}"/>
            </a:ext>
          </a:extLst>
        </xdr:cNvPr>
        <xdr:cNvSpPr txBox="1"/>
      </xdr:nvSpPr>
      <xdr:spPr>
        <a:xfrm>
          <a:off x="12831982" y="1996140"/>
          <a:ext cx="716671"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23DE6F18-7DF1-4D60-A15F-05AA8F711E20}" type="TxLink">
            <a:rPr lang="en-US" sz="2400" b="0" i="0" u="none" strike="noStrike">
              <a:solidFill>
                <a:srgbClr val="000000"/>
              </a:solidFill>
              <a:latin typeface="Calibri"/>
              <a:cs typeface="Calibri"/>
            </a:rPr>
            <a:pPr/>
            <a:t>14%</a:t>
          </a:fld>
          <a:endParaRPr lang="en-ID" sz="2400"/>
        </a:p>
      </xdr:txBody>
    </xdr:sp>
    <xdr:clientData/>
  </xdr:oneCellAnchor>
  <xdr:twoCellAnchor>
    <xdr:from>
      <xdr:col>20</xdr:col>
      <xdr:colOff>286871</xdr:colOff>
      <xdr:row>16</xdr:row>
      <xdr:rowOff>48986</xdr:rowOff>
    </xdr:from>
    <xdr:to>
      <xdr:col>22</xdr:col>
      <xdr:colOff>493059</xdr:colOff>
      <xdr:row>24</xdr:row>
      <xdr:rowOff>20272</xdr:rowOff>
    </xdr:to>
    <xdr:graphicFrame macro="">
      <xdr:nvGraphicFramePr>
        <xdr:cNvPr id="110" name="Chart 109">
          <a:extLst>
            <a:ext uri="{FF2B5EF4-FFF2-40B4-BE49-F238E27FC236}">
              <a16:creationId xmlns:a16="http://schemas.microsoft.com/office/drawing/2014/main" id="{6CBF1E38-D6BE-4167-A0DD-C1F2844E88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oneCellAnchor>
    <xdr:from>
      <xdr:col>21</xdr:col>
      <xdr:colOff>41339</xdr:colOff>
      <xdr:row>18</xdr:row>
      <xdr:rowOff>158377</xdr:rowOff>
    </xdr:from>
    <xdr:ext cx="716671" cy="468013"/>
    <xdr:sp macro="" textlink="goal_area!$H$10">
      <xdr:nvSpPr>
        <xdr:cNvPr id="111" name="TextBox 110">
          <a:extLst>
            <a:ext uri="{FF2B5EF4-FFF2-40B4-BE49-F238E27FC236}">
              <a16:creationId xmlns:a16="http://schemas.microsoft.com/office/drawing/2014/main" id="{26FC0C4F-53C1-46BC-B7B4-8626E698C43B}"/>
            </a:ext>
          </a:extLst>
        </xdr:cNvPr>
        <xdr:cNvSpPr txBox="1"/>
      </xdr:nvSpPr>
      <xdr:spPr>
        <a:xfrm>
          <a:off x="12842939" y="3511177"/>
          <a:ext cx="716671"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829AA25A-862B-4DB0-BF71-7CFFF0FE3915}" type="TxLink">
            <a:rPr lang="en-US" sz="2400" b="0" i="0" u="none" strike="noStrike">
              <a:solidFill>
                <a:srgbClr val="000000"/>
              </a:solidFill>
              <a:latin typeface="Calibri"/>
              <a:cs typeface="Calibri"/>
            </a:rPr>
            <a:pPr/>
            <a:t>12%</a:t>
          </a:fld>
          <a:endParaRPr lang="en-ID" sz="2400"/>
        </a:p>
      </xdr:txBody>
    </xdr:sp>
    <xdr:clientData/>
  </xdr:oneCellAnchor>
  <xdr:twoCellAnchor>
    <xdr:from>
      <xdr:col>20</xdr:col>
      <xdr:colOff>265422</xdr:colOff>
      <xdr:row>24</xdr:row>
      <xdr:rowOff>17136</xdr:rowOff>
    </xdr:from>
    <xdr:to>
      <xdr:col>22</xdr:col>
      <xdr:colOff>534361</xdr:colOff>
      <xdr:row>32</xdr:row>
      <xdr:rowOff>8170</xdr:rowOff>
    </xdr:to>
    <xdr:graphicFrame macro="">
      <xdr:nvGraphicFramePr>
        <xdr:cNvPr id="112" name="Chart 111">
          <a:extLst>
            <a:ext uri="{FF2B5EF4-FFF2-40B4-BE49-F238E27FC236}">
              <a16:creationId xmlns:a16="http://schemas.microsoft.com/office/drawing/2014/main" id="{CA20AAC8-F7DA-4C65-ADD8-FE9C4D7F08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oneCellAnchor>
    <xdr:from>
      <xdr:col>21</xdr:col>
      <xdr:colOff>45820</xdr:colOff>
      <xdr:row>26</xdr:row>
      <xdr:rowOff>139950</xdr:rowOff>
    </xdr:from>
    <xdr:ext cx="716671" cy="468013"/>
    <xdr:sp macro="" textlink="goal_area!$K$10">
      <xdr:nvSpPr>
        <xdr:cNvPr id="113" name="TextBox 112">
          <a:extLst>
            <a:ext uri="{FF2B5EF4-FFF2-40B4-BE49-F238E27FC236}">
              <a16:creationId xmlns:a16="http://schemas.microsoft.com/office/drawing/2014/main" id="{90111779-E1BC-4515-991D-D21A6F333730}"/>
            </a:ext>
          </a:extLst>
        </xdr:cNvPr>
        <xdr:cNvSpPr txBox="1"/>
      </xdr:nvSpPr>
      <xdr:spPr>
        <a:xfrm>
          <a:off x="12847420" y="4982883"/>
          <a:ext cx="716671"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BED13B2B-163A-4CD7-ABFB-2F58BA55D0DF}" type="TxLink">
            <a:rPr lang="en-US" sz="2400" b="0" i="0" u="none" strike="noStrike">
              <a:solidFill>
                <a:srgbClr val="000000"/>
              </a:solidFill>
              <a:latin typeface="Calibri"/>
              <a:cs typeface="Calibri"/>
            </a:rPr>
            <a:pPr/>
            <a:t>14%</a:t>
          </a:fld>
          <a:endParaRPr lang="en-ID" sz="2400"/>
        </a:p>
      </xdr:txBody>
    </xdr:sp>
    <xdr:clientData/>
  </xdr:oneCellAnchor>
  <xdr:twoCellAnchor>
    <xdr:from>
      <xdr:col>20</xdr:col>
      <xdr:colOff>288471</xdr:colOff>
      <xdr:row>7</xdr:row>
      <xdr:rowOff>144248</xdr:rowOff>
    </xdr:from>
    <xdr:to>
      <xdr:col>22</xdr:col>
      <xdr:colOff>494658</xdr:colOff>
      <xdr:row>16</xdr:row>
      <xdr:rowOff>72529</xdr:rowOff>
    </xdr:to>
    <xdr:graphicFrame macro="">
      <xdr:nvGraphicFramePr>
        <xdr:cNvPr id="114" name="Chart 113">
          <a:extLst>
            <a:ext uri="{FF2B5EF4-FFF2-40B4-BE49-F238E27FC236}">
              <a16:creationId xmlns:a16="http://schemas.microsoft.com/office/drawing/2014/main" id="{D116A403-AD53-4425-B392-084964ECEA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oneCellAnchor>
    <xdr:from>
      <xdr:col>18</xdr:col>
      <xdr:colOff>333860</xdr:colOff>
      <xdr:row>7</xdr:row>
      <xdr:rowOff>30197</xdr:rowOff>
    </xdr:from>
    <xdr:ext cx="1053734" cy="264560"/>
    <xdr:sp macro="" textlink="">
      <xdr:nvSpPr>
        <xdr:cNvPr id="115" name="TextBox 114">
          <a:extLst>
            <a:ext uri="{FF2B5EF4-FFF2-40B4-BE49-F238E27FC236}">
              <a16:creationId xmlns:a16="http://schemas.microsoft.com/office/drawing/2014/main" id="{B1895B7F-818E-4C55-9F9E-0AFAA22423E3}"/>
            </a:ext>
          </a:extLst>
        </xdr:cNvPr>
        <xdr:cNvSpPr txBox="1"/>
      </xdr:nvSpPr>
      <xdr:spPr>
        <a:xfrm>
          <a:off x="11306660" y="1334064"/>
          <a:ext cx="105373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ID" sz="1050" b="1">
              <a:solidFill>
                <a:schemeClr val="bg1"/>
              </a:solidFill>
              <a:effectLst/>
              <a:latin typeface="+mn-lt"/>
              <a:ea typeface="+mn-ea"/>
              <a:cs typeface="+mn-cs"/>
            </a:rPr>
            <a:t>In Box Area</a:t>
          </a:r>
          <a:endParaRPr lang="en-ID" sz="1050" b="1">
            <a:solidFill>
              <a:schemeClr val="bg1"/>
            </a:solidFill>
            <a:effectLst/>
          </a:endParaRPr>
        </a:p>
      </xdr:txBody>
    </xdr:sp>
    <xdr:clientData/>
  </xdr:oneCellAnchor>
  <xdr:oneCellAnchor>
    <xdr:from>
      <xdr:col>20</xdr:col>
      <xdr:colOff>469323</xdr:colOff>
      <xdr:row>7</xdr:row>
      <xdr:rowOff>30197</xdr:rowOff>
    </xdr:from>
    <xdr:ext cx="1053734" cy="264560"/>
    <xdr:sp macro="" textlink="">
      <xdr:nvSpPr>
        <xdr:cNvPr id="116" name="TextBox 115">
          <a:extLst>
            <a:ext uri="{FF2B5EF4-FFF2-40B4-BE49-F238E27FC236}">
              <a16:creationId xmlns:a16="http://schemas.microsoft.com/office/drawing/2014/main" id="{E805C0E9-EBCB-4206-B196-5556D59E200D}"/>
            </a:ext>
          </a:extLst>
        </xdr:cNvPr>
        <xdr:cNvSpPr txBox="1"/>
      </xdr:nvSpPr>
      <xdr:spPr>
        <a:xfrm>
          <a:off x="12661323" y="1334064"/>
          <a:ext cx="105373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ID" sz="1050" b="1">
              <a:solidFill>
                <a:schemeClr val="bg1"/>
              </a:solidFill>
              <a:effectLst/>
              <a:latin typeface="+mn-lt"/>
              <a:ea typeface="+mn-ea"/>
              <a:cs typeface="+mn-cs"/>
            </a:rPr>
            <a:t>Out Box Area</a:t>
          </a:r>
          <a:endParaRPr lang="en-ID" sz="1050" b="1">
            <a:solidFill>
              <a:schemeClr val="bg1"/>
            </a:solidFill>
            <a:effectLst/>
          </a:endParaRPr>
        </a:p>
      </xdr:txBody>
    </xdr:sp>
    <xdr:clientData/>
  </xdr:oneCellAnchor>
  <xdr:twoCellAnchor editAs="oneCell">
    <xdr:from>
      <xdr:col>25</xdr:col>
      <xdr:colOff>519954</xdr:colOff>
      <xdr:row>1</xdr:row>
      <xdr:rowOff>8966</xdr:rowOff>
    </xdr:from>
    <xdr:to>
      <xdr:col>26</xdr:col>
      <xdr:colOff>358590</xdr:colOff>
      <xdr:row>3</xdr:row>
      <xdr:rowOff>98614</xdr:rowOff>
    </xdr:to>
    <xdr:pic macro="[0]!Sheet10.change_settings_menu_Visibility">
      <xdr:nvPicPr>
        <xdr:cNvPr id="78" name="settings_button" descr="Single gear with solid fill">
          <a:extLst>
            <a:ext uri="{FF2B5EF4-FFF2-40B4-BE49-F238E27FC236}">
              <a16:creationId xmlns:a16="http://schemas.microsoft.com/office/drawing/2014/main" id="{FA680711-8D45-4D73-97F6-8735DA9C3821}"/>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tretch>
          <a:fillRect/>
        </a:stretch>
      </xdr:blipFill>
      <xdr:spPr>
        <a:xfrm>
          <a:off x="15759954" y="188260"/>
          <a:ext cx="448236" cy="448236"/>
        </a:xfrm>
        <a:prstGeom prst="rect">
          <a:avLst/>
        </a:prstGeom>
      </xdr:spPr>
    </xdr:pic>
    <xdr:clientData/>
  </xdr:twoCellAnchor>
  <xdr:twoCellAnchor>
    <xdr:from>
      <xdr:col>23</xdr:col>
      <xdr:colOff>493061</xdr:colOff>
      <xdr:row>3</xdr:row>
      <xdr:rowOff>71719</xdr:rowOff>
    </xdr:from>
    <xdr:to>
      <xdr:col>27</xdr:col>
      <xdr:colOff>89648</xdr:colOff>
      <xdr:row>13</xdr:row>
      <xdr:rowOff>89647</xdr:rowOff>
    </xdr:to>
    <xdr:grpSp>
      <xdr:nvGrpSpPr>
        <xdr:cNvPr id="42" name="settings_menu_frame" hidden="1">
          <a:extLst>
            <a:ext uri="{FF2B5EF4-FFF2-40B4-BE49-F238E27FC236}">
              <a16:creationId xmlns:a16="http://schemas.microsoft.com/office/drawing/2014/main" id="{8D104C45-23AB-E6FA-387C-61D112331E1D}"/>
            </a:ext>
          </a:extLst>
        </xdr:cNvPr>
        <xdr:cNvGrpSpPr/>
      </xdr:nvGrpSpPr>
      <xdr:grpSpPr>
        <a:xfrm>
          <a:off x="14513861" y="609601"/>
          <a:ext cx="2034987" cy="1810870"/>
          <a:chOff x="14513861" y="618564"/>
          <a:chExt cx="2037047" cy="1801907"/>
        </a:xfrm>
      </xdr:grpSpPr>
      <xdr:sp macro="" textlink="">
        <xdr:nvSpPr>
          <xdr:cNvPr id="117" name="Rectangle 116" hidden="1">
            <a:extLst>
              <a:ext uri="{FF2B5EF4-FFF2-40B4-BE49-F238E27FC236}">
                <a16:creationId xmlns:a16="http://schemas.microsoft.com/office/drawing/2014/main" id="{3C7665AF-AB06-1800-C91F-1EFCABF28172}"/>
              </a:ext>
            </a:extLst>
          </xdr:cNvPr>
          <xdr:cNvSpPr/>
        </xdr:nvSpPr>
        <xdr:spPr>
          <a:xfrm>
            <a:off x="14513861" y="731919"/>
            <a:ext cx="2034987" cy="1688552"/>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sp macro="" textlink="">
        <xdr:nvSpPr>
          <xdr:cNvPr id="118" name="Isosceles Triangle 117" hidden="1">
            <a:extLst>
              <a:ext uri="{FF2B5EF4-FFF2-40B4-BE49-F238E27FC236}">
                <a16:creationId xmlns:a16="http://schemas.microsoft.com/office/drawing/2014/main" id="{0EEBA767-87A4-7EC2-4D84-FECE2BD138C9}"/>
              </a:ext>
            </a:extLst>
          </xdr:cNvPr>
          <xdr:cNvSpPr/>
        </xdr:nvSpPr>
        <xdr:spPr>
          <a:xfrm>
            <a:off x="15734921" y="609601"/>
            <a:ext cx="493256" cy="181115"/>
          </a:xfrm>
          <a:prstGeom prs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sp macro="" textlink="">
        <xdr:nvSpPr>
          <xdr:cNvPr id="120" name="TextBox 119" hidden="1">
            <a:extLst>
              <a:ext uri="{FF2B5EF4-FFF2-40B4-BE49-F238E27FC236}">
                <a16:creationId xmlns:a16="http://schemas.microsoft.com/office/drawing/2014/main" id="{42BCC7CF-4719-4EC9-9098-16A5C0C82F93}"/>
              </a:ext>
            </a:extLst>
          </xdr:cNvPr>
          <xdr:cNvSpPr txBox="1"/>
        </xdr:nvSpPr>
        <xdr:spPr>
          <a:xfrm>
            <a:off x="14516024" y="884376"/>
            <a:ext cx="100188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ID" sz="1100" b="1">
                <a:solidFill>
                  <a:sysClr val="windowText" lastClr="000000"/>
                </a:solidFill>
                <a:effectLst/>
                <a:latin typeface="+mn-lt"/>
                <a:ea typeface="+mn-ea"/>
                <a:cs typeface="+mn-cs"/>
              </a:rPr>
              <a:t>Color Theme</a:t>
            </a:r>
            <a:endParaRPr lang="en-ID" sz="1100" b="1">
              <a:solidFill>
                <a:sysClr val="windowText" lastClr="000000"/>
              </a:solidFill>
              <a:effectLst/>
            </a:endParaRPr>
          </a:p>
        </xdr:txBody>
      </xdr:sp>
      <xdr:sp macro="" textlink="">
        <xdr:nvSpPr>
          <xdr:cNvPr id="121" name="TextBox 120" hidden="1">
            <a:extLst>
              <a:ext uri="{FF2B5EF4-FFF2-40B4-BE49-F238E27FC236}">
                <a16:creationId xmlns:a16="http://schemas.microsoft.com/office/drawing/2014/main" id="{F4E846D9-DD41-428A-8D06-91EE66A67C4B}"/>
              </a:ext>
            </a:extLst>
          </xdr:cNvPr>
          <xdr:cNvSpPr txBox="1"/>
        </xdr:nvSpPr>
        <xdr:spPr>
          <a:xfrm>
            <a:off x="14516021" y="1816707"/>
            <a:ext cx="153080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ID" sz="1100" b="1">
                <a:solidFill>
                  <a:sysClr val="windowText" lastClr="000000"/>
                </a:solidFill>
                <a:effectLst/>
                <a:latin typeface="+mn-lt"/>
                <a:ea typeface="+mn-ea"/>
                <a:cs typeface="+mn-cs"/>
              </a:rPr>
              <a:t>Info Buttons Visibility</a:t>
            </a:r>
            <a:endParaRPr lang="en-ID" sz="1100" b="1">
              <a:solidFill>
                <a:sysClr val="windowText" lastClr="000000"/>
              </a:solidFill>
              <a:effectLst/>
            </a:endParaRPr>
          </a:p>
        </xdr:txBody>
      </xdr:sp>
    </xdr:grpSp>
    <xdr:clientData/>
  </xdr:twoCellAnchor>
  <xdr:twoCellAnchor>
    <xdr:from>
      <xdr:col>24</xdr:col>
      <xdr:colOff>28887</xdr:colOff>
      <xdr:row>6</xdr:row>
      <xdr:rowOff>120988</xdr:rowOff>
    </xdr:from>
    <xdr:to>
      <xdr:col>25</xdr:col>
      <xdr:colOff>233084</xdr:colOff>
      <xdr:row>7</xdr:row>
      <xdr:rowOff>161365</xdr:rowOff>
    </xdr:to>
    <xdr:sp macro="[0]!Sheet10.display_theme_1" textlink="">
      <xdr:nvSpPr>
        <xdr:cNvPr id="123" name="theme_button_1" hidden="1">
          <a:extLst>
            <a:ext uri="{FF2B5EF4-FFF2-40B4-BE49-F238E27FC236}">
              <a16:creationId xmlns:a16="http://schemas.microsoft.com/office/drawing/2014/main" id="{53B768B1-C04A-4339-AFB6-EDACEFA38D41}"/>
            </a:ext>
          </a:extLst>
        </xdr:cNvPr>
        <xdr:cNvSpPr/>
      </xdr:nvSpPr>
      <xdr:spPr>
        <a:xfrm>
          <a:off x="14659287" y="1196753"/>
          <a:ext cx="813797" cy="219671"/>
        </a:xfrm>
        <a:prstGeom prst="roundRect">
          <a:avLst>
            <a:gd name="adj" fmla="val 50000"/>
          </a:avLst>
        </a:prstGeom>
        <a:solidFill>
          <a:schemeClr val="bg2">
            <a:lumMod val="25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1100">
              <a:solidFill>
                <a:srgbClr val="FFFFFF"/>
              </a:solidFill>
            </a:rPr>
            <a:t>Theme 1</a:t>
          </a:r>
        </a:p>
      </xdr:txBody>
    </xdr:sp>
    <xdr:clientData/>
  </xdr:twoCellAnchor>
  <xdr:twoCellAnchor>
    <xdr:from>
      <xdr:col>25</xdr:col>
      <xdr:colOff>324723</xdr:colOff>
      <xdr:row>6</xdr:row>
      <xdr:rowOff>120988</xdr:rowOff>
    </xdr:from>
    <xdr:to>
      <xdr:col>26</xdr:col>
      <xdr:colOff>528920</xdr:colOff>
      <xdr:row>7</xdr:row>
      <xdr:rowOff>161365</xdr:rowOff>
    </xdr:to>
    <xdr:sp macro="[0]!Sheet10.display_theme_2" textlink="">
      <xdr:nvSpPr>
        <xdr:cNvPr id="124" name="theme_button_2" hidden="1">
          <a:extLst>
            <a:ext uri="{FF2B5EF4-FFF2-40B4-BE49-F238E27FC236}">
              <a16:creationId xmlns:a16="http://schemas.microsoft.com/office/drawing/2014/main" id="{493124AF-2464-4689-AA65-B8A4C9F237CE}"/>
            </a:ext>
          </a:extLst>
        </xdr:cNvPr>
        <xdr:cNvSpPr/>
      </xdr:nvSpPr>
      <xdr:spPr>
        <a:xfrm>
          <a:off x="15564723" y="1196753"/>
          <a:ext cx="813797" cy="219671"/>
        </a:xfrm>
        <a:prstGeom prst="roundRect">
          <a:avLst>
            <a:gd name="adj" fmla="val 50000"/>
          </a:avLst>
        </a:prstGeom>
        <a:solidFill>
          <a:schemeClr val="bg2">
            <a:lumMod val="25000"/>
            <a:alpha val="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1100">
              <a:solidFill>
                <a:srgbClr val="000000"/>
              </a:solidFill>
            </a:rPr>
            <a:t>Theme 2</a:t>
          </a:r>
        </a:p>
      </xdr:txBody>
    </xdr:sp>
    <xdr:clientData/>
  </xdr:twoCellAnchor>
  <xdr:twoCellAnchor>
    <xdr:from>
      <xdr:col>24</xdr:col>
      <xdr:colOff>37851</xdr:colOff>
      <xdr:row>8</xdr:row>
      <xdr:rowOff>76165</xdr:rowOff>
    </xdr:from>
    <xdr:to>
      <xdr:col>25</xdr:col>
      <xdr:colOff>242048</xdr:colOff>
      <xdr:row>9</xdr:row>
      <xdr:rowOff>116542</xdr:rowOff>
    </xdr:to>
    <xdr:sp macro="[0]!Sheet10.display_theme_3" textlink="">
      <xdr:nvSpPr>
        <xdr:cNvPr id="125" name="theme_button_3" hidden="1">
          <a:extLst>
            <a:ext uri="{FF2B5EF4-FFF2-40B4-BE49-F238E27FC236}">
              <a16:creationId xmlns:a16="http://schemas.microsoft.com/office/drawing/2014/main" id="{7B44AE99-4D3F-459D-8003-636CC05B8B24}"/>
            </a:ext>
          </a:extLst>
        </xdr:cNvPr>
        <xdr:cNvSpPr/>
      </xdr:nvSpPr>
      <xdr:spPr>
        <a:xfrm>
          <a:off x="14668251" y="1510518"/>
          <a:ext cx="813797" cy="219671"/>
        </a:xfrm>
        <a:prstGeom prst="roundRect">
          <a:avLst>
            <a:gd name="adj" fmla="val 50000"/>
          </a:avLst>
        </a:prstGeom>
        <a:solidFill>
          <a:schemeClr val="bg2">
            <a:lumMod val="25000"/>
            <a:alpha val="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1100">
              <a:solidFill>
                <a:srgbClr val="000000"/>
              </a:solidFill>
            </a:rPr>
            <a:t>Theme 3</a:t>
          </a:r>
        </a:p>
      </xdr:txBody>
    </xdr:sp>
    <xdr:clientData/>
  </xdr:twoCellAnchor>
  <xdr:twoCellAnchor>
    <xdr:from>
      <xdr:col>25</xdr:col>
      <xdr:colOff>333687</xdr:colOff>
      <xdr:row>8</xdr:row>
      <xdr:rowOff>76165</xdr:rowOff>
    </xdr:from>
    <xdr:to>
      <xdr:col>26</xdr:col>
      <xdr:colOff>537884</xdr:colOff>
      <xdr:row>9</xdr:row>
      <xdr:rowOff>116542</xdr:rowOff>
    </xdr:to>
    <xdr:sp macro="[0]!Sheet10.display_theme_4" textlink="">
      <xdr:nvSpPr>
        <xdr:cNvPr id="126" name="theme_button_4" hidden="1">
          <a:extLst>
            <a:ext uri="{FF2B5EF4-FFF2-40B4-BE49-F238E27FC236}">
              <a16:creationId xmlns:a16="http://schemas.microsoft.com/office/drawing/2014/main" id="{0D2791CD-9D57-4F64-B61B-4EAA0780B0CD}"/>
            </a:ext>
          </a:extLst>
        </xdr:cNvPr>
        <xdr:cNvSpPr/>
      </xdr:nvSpPr>
      <xdr:spPr>
        <a:xfrm>
          <a:off x="15573687" y="1510518"/>
          <a:ext cx="813797" cy="219671"/>
        </a:xfrm>
        <a:prstGeom prst="roundRect">
          <a:avLst>
            <a:gd name="adj" fmla="val 50000"/>
          </a:avLst>
        </a:prstGeom>
        <a:solidFill>
          <a:schemeClr val="bg2">
            <a:lumMod val="25000"/>
            <a:alpha val="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1100">
              <a:solidFill>
                <a:srgbClr val="000000"/>
              </a:solidFill>
            </a:rPr>
            <a:t>Theme 4</a:t>
          </a:r>
        </a:p>
      </xdr:txBody>
    </xdr:sp>
    <xdr:clientData/>
  </xdr:twoCellAnchor>
  <xdr:twoCellAnchor>
    <xdr:from>
      <xdr:col>24</xdr:col>
      <xdr:colOff>38618</xdr:colOff>
      <xdr:row>11</xdr:row>
      <xdr:rowOff>142047</xdr:rowOff>
    </xdr:from>
    <xdr:to>
      <xdr:col>24</xdr:col>
      <xdr:colOff>509954</xdr:colOff>
      <xdr:row>12</xdr:row>
      <xdr:rowOff>154108</xdr:rowOff>
    </xdr:to>
    <xdr:sp macro="[0]!Sheet10.change_info_Visibility" textlink="">
      <xdr:nvSpPr>
        <xdr:cNvPr id="85" name="toggle_background_info" hidden="1">
          <a:extLst>
            <a:ext uri="{FF2B5EF4-FFF2-40B4-BE49-F238E27FC236}">
              <a16:creationId xmlns:a16="http://schemas.microsoft.com/office/drawing/2014/main" id="{E1B82D29-7A68-C463-BB4D-5967CAE1F568}"/>
            </a:ext>
          </a:extLst>
        </xdr:cNvPr>
        <xdr:cNvSpPr/>
      </xdr:nvSpPr>
      <xdr:spPr>
        <a:xfrm>
          <a:off x="14669018" y="2182882"/>
          <a:ext cx="471336" cy="197591"/>
        </a:xfrm>
        <a:prstGeom prst="roundRect">
          <a:avLst>
            <a:gd name="adj" fmla="val 50000"/>
          </a:avLst>
        </a:prstGeom>
        <a:solidFill>
          <a:srgbClr val="32B43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xdr:from>
      <xdr:col>24</xdr:col>
      <xdr:colOff>253082</xdr:colOff>
      <xdr:row>11</xdr:row>
      <xdr:rowOff>94464</xdr:rowOff>
    </xdr:from>
    <xdr:to>
      <xdr:col>24</xdr:col>
      <xdr:colOff>530988</xdr:colOff>
      <xdr:row>13</xdr:row>
      <xdr:rowOff>9958</xdr:rowOff>
    </xdr:to>
    <xdr:sp macro="[0]!Sheet10.change_info_Visibility" textlink="">
      <xdr:nvSpPr>
        <xdr:cNvPr id="86" name="toggle_circle_info" hidden="1">
          <a:extLst>
            <a:ext uri="{FF2B5EF4-FFF2-40B4-BE49-F238E27FC236}">
              <a16:creationId xmlns:a16="http://schemas.microsoft.com/office/drawing/2014/main" id="{C3ABD848-D25C-0A96-7965-BE9574210674}"/>
            </a:ext>
          </a:extLst>
        </xdr:cNvPr>
        <xdr:cNvSpPr/>
      </xdr:nvSpPr>
      <xdr:spPr>
        <a:xfrm>
          <a:off x="14883482" y="2106144"/>
          <a:ext cx="277906" cy="281254"/>
        </a:xfrm>
        <a:prstGeom prst="ellipse">
          <a:avLst/>
        </a:prstGeom>
        <a:solidFill>
          <a:srgbClr val="008741"/>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oneCellAnchor>
    <xdr:from>
      <xdr:col>25</xdr:col>
      <xdr:colOff>84416</xdr:colOff>
      <xdr:row>11</xdr:row>
      <xdr:rowOff>81515</xdr:rowOff>
    </xdr:from>
    <xdr:ext cx="435537" cy="256737"/>
    <xdr:sp macro="" textlink="">
      <xdr:nvSpPr>
        <xdr:cNvPr id="88" name="toggle_textbox_info" hidden="1">
          <a:extLst>
            <a:ext uri="{FF2B5EF4-FFF2-40B4-BE49-F238E27FC236}">
              <a16:creationId xmlns:a16="http://schemas.microsoft.com/office/drawing/2014/main" id="{28BFC840-57B7-4461-8710-1FDA08E16B99}"/>
            </a:ext>
          </a:extLst>
        </xdr:cNvPr>
        <xdr:cNvSpPr txBox="1"/>
      </xdr:nvSpPr>
      <xdr:spPr>
        <a:xfrm>
          <a:off x="15324416" y="2053750"/>
          <a:ext cx="435537"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ID" sz="1050" b="1">
              <a:solidFill>
                <a:sysClr val="windowText" lastClr="000000"/>
              </a:solidFill>
              <a:effectLst/>
              <a:latin typeface="+mn-lt"/>
              <a:ea typeface="+mn-ea"/>
              <a:cs typeface="+mn-cs"/>
            </a:rPr>
            <a:t>On</a:t>
          </a:r>
          <a:endParaRPr lang="en-ID" sz="1050" b="1">
            <a:solidFill>
              <a:sysClr val="windowText" lastClr="000000"/>
            </a:solidFill>
            <a:effectLst/>
          </a:endParaRPr>
        </a:p>
      </xdr:txBody>
    </xdr:sp>
    <xdr:clientData/>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Blackbird" refreshedDate="44832.840227314817" createdVersion="8" refreshedVersion="8" minRefreshableVersion="3" recordCount="240" xr:uid="{00000000-000A-0000-FFFF-FFFF00000000}">
  <cacheSource type="worksheet">
    <worksheetSource name="stats"/>
  </cacheSource>
  <cacheFields count="45">
    <cacheField name="team" numFmtId="0">
      <sharedItems count="39">
        <s v="Manchester United"/>
        <s v="Chelsea"/>
        <s v="Liverpool"/>
        <s v="Arsenal"/>
        <s v="Tottenham Hotspur"/>
        <s v="Bolton Wanderers"/>
        <s v="Reading"/>
        <s v="Blackburn Rovers"/>
        <s v="Everton"/>
        <s v="Portsmouth"/>
        <s v="Middlesbrough"/>
        <s v="West Ham United"/>
        <s v="Aston Villa"/>
        <s v="Manchester City"/>
        <s v="Newcastle United"/>
        <s v="Sheffield United"/>
        <s v="Wigan Athletic"/>
        <s v="Charlton Athletic"/>
        <s v="Fulham"/>
        <s v="Watford"/>
        <s v="Sunderland"/>
        <s v="Birmingham City"/>
        <s v="Derby County"/>
        <s v="Stoke City"/>
        <s v="Hull City"/>
        <s v="West Bromwich Albion"/>
        <s v="Wolverhampton Wanderers"/>
        <s v="Burnley"/>
        <s v="Blackpool"/>
        <s v="Norwich City"/>
        <s v="Swansea City"/>
        <s v="Queens Park Rangers"/>
        <s v="Southampton"/>
        <s v="Crystal Palace"/>
        <s v="Cardiff City"/>
        <s v="Leicester City"/>
        <s v="AFC Bournemouth"/>
        <s v="Brighton and Hove Albion"/>
        <s v="Huddersfield Town"/>
      </sharedItems>
    </cacheField>
    <cacheField name="wins" numFmtId="0">
      <sharedItems containsSemiMixedTypes="0" containsString="0" containsNumber="1" containsInteger="1" minValue="1" maxValue="32"/>
    </cacheField>
    <cacheField name="losses" numFmtId="0">
      <sharedItems containsSemiMixedTypes="0" containsString="0" containsNumber="1" containsInteger="1" minValue="2" maxValue="29"/>
    </cacheField>
    <cacheField name="goals" numFmtId="0">
      <sharedItems containsSemiMixedTypes="0" containsString="0" containsNumber="1" containsInteger="1" minValue="20" maxValue="106"/>
    </cacheField>
    <cacheField name="total_yel_card" numFmtId="0">
      <sharedItems containsSemiMixedTypes="0" containsString="0" containsNumber="1" containsInteger="1" minValue="38" maxValue="94"/>
    </cacheField>
    <cacheField name="total_red_card" numFmtId="0">
      <sharedItems containsSemiMixedTypes="0" containsString="0" containsNumber="1" containsInteger="1" minValue="0" maxValue="9"/>
    </cacheField>
    <cacheField name="total_scoring_att" numFmtId="0">
      <sharedItems containsSemiMixedTypes="0" containsString="0" containsNumber="1" containsInteger="1" minValue="338" maxValue="834"/>
    </cacheField>
    <cacheField name="ontarget_scoring_att" numFmtId="0">
      <sharedItems containsSemiMixedTypes="0" containsString="0" containsNumber="1" containsInteger="1" minValue="94" maxValue="288"/>
    </cacheField>
    <cacheField name="hit_woodwork" numFmtId="0">
      <sharedItems containsSemiMixedTypes="0" containsString="0" containsNumber="1" containsInteger="1" minValue="4" maxValue="33"/>
    </cacheField>
    <cacheField name="att_hd_goal" numFmtId="0">
      <sharedItems containsSemiMixedTypes="0" containsString="0" containsNumber="1" containsInteger="1" minValue="1" maxValue="18"/>
    </cacheField>
    <cacheField name="att_pen_goal" numFmtId="0">
      <sharedItems containsSemiMixedTypes="0" containsString="0" containsNumber="1" containsInteger="1" minValue="0" maxValue="11"/>
    </cacheField>
    <cacheField name="att_freekick_goal" numFmtId="0">
      <sharedItems containsSemiMixedTypes="0" containsString="0" containsNumber="1" containsInteger="1" minValue="0" maxValue="6"/>
    </cacheField>
    <cacheField name="att_ibox_goal" numFmtId="0">
      <sharedItems containsSemiMixedTypes="0" containsString="0" containsNumber="1" containsInteger="1" minValue="15" maxValue="94"/>
    </cacheField>
    <cacheField name="att_obox_goal" numFmtId="0">
      <sharedItems containsSemiMixedTypes="0" containsString="0" containsNumber="1" containsInteger="1" minValue="1" maxValue="23"/>
    </cacheField>
    <cacheField name="goal_fastbreak" numFmtId="0">
      <sharedItems containsSemiMixedTypes="0" containsString="0" containsNumber="1" containsInteger="1" minValue="0" maxValue="12"/>
    </cacheField>
    <cacheField name="total_offside" numFmtId="0">
      <sharedItems containsSemiMixedTypes="0" containsString="0" containsNumber="1" containsInteger="1" minValue="38" maxValue="149"/>
    </cacheField>
    <cacheField name="clean_sheet" numFmtId="0">
      <sharedItems containsSemiMixedTypes="0" containsString="0" containsNumber="1" containsInteger="1" minValue="2" maxValue="24"/>
    </cacheField>
    <cacheField name="goals_conceded" numFmtId="0">
      <sharedItems containsSemiMixedTypes="0" containsString="0" containsNumber="1" containsInteger="1" minValue="22" maxValue="89"/>
    </cacheField>
    <cacheField name="saves" numFmtId="0">
      <sharedItems containsSemiMixedTypes="0" containsString="0" containsNumber="1" containsInteger="1" minValue="0" maxValue="176"/>
    </cacheField>
    <cacheField name="outfielder_block" numFmtId="0">
      <sharedItems containsSemiMixedTypes="0" containsString="0" containsNumber="1" containsInteger="1" minValue="53" maxValue="225"/>
    </cacheField>
    <cacheField name="interception" numFmtId="0">
      <sharedItems containsSemiMixedTypes="0" containsString="0" containsNumber="1" containsInteger="1" minValue="198" maxValue="872"/>
    </cacheField>
    <cacheField name="total_tackle" numFmtId="0">
      <sharedItems containsSemiMixedTypes="0" containsString="0" containsNumber="1" containsInteger="1" minValue="508" maxValue="1089"/>
    </cacheField>
    <cacheField name="last_man_tackle" numFmtId="0">
      <sharedItems containsSemiMixedTypes="0" containsString="0" containsNumber="1" containsInteger="1" minValue="0" maxValue="26"/>
    </cacheField>
    <cacheField name="total_clearance" numFmtId="0">
      <sharedItems containsSemiMixedTypes="0" containsString="0" containsNumber="1" containsInteger="1" minValue="588" maxValue="2220"/>
    </cacheField>
    <cacheField name="head_clearance" numFmtId="0">
      <sharedItems containsString="0" containsBlank="1" containsNumber="1" containsInteger="1" minValue="308" maxValue="1183"/>
    </cacheField>
    <cacheField name="own_goals" numFmtId="0">
      <sharedItems containsSemiMixedTypes="0" containsString="0" containsNumber="1" containsInteger="1" minValue="0" maxValue="6"/>
    </cacheField>
    <cacheField name="penalty_conceded" numFmtId="0">
      <sharedItems containsSemiMixedTypes="0" containsString="0" containsNumber="1" containsInteger="1" minValue="0" maxValue="13"/>
    </cacheField>
    <cacheField name="pen_goals_conceded" numFmtId="0">
      <sharedItems containsSemiMixedTypes="0" containsString="0" containsNumber="1" containsInteger="1" minValue="0" maxValue="11"/>
    </cacheField>
    <cacheField name="total_pass" numFmtId="0">
      <sharedItems containsSemiMixedTypes="0" containsString="0" containsNumber="1" containsInteger="1" minValue="9478" maxValue="28241"/>
    </cacheField>
    <cacheField name="total_through_ball" numFmtId="0">
      <sharedItems containsString="0" containsBlank="1" containsNumber="1" containsInteger="1" minValue="12" maxValue="373"/>
    </cacheField>
    <cacheField name="total_long_balls" numFmtId="0">
      <sharedItems containsSemiMixedTypes="0" containsString="0" containsNumber="1" containsInteger="1" minValue="1462" maxValue="3176"/>
    </cacheField>
    <cacheField name="backward_pass" numFmtId="0">
      <sharedItems containsString="0" containsBlank="1" containsNumber="1" containsInteger="1" minValue="1382" maxValue="4546"/>
    </cacheField>
    <cacheField name="total_cross" numFmtId="0">
      <sharedItems containsSemiMixedTypes="0" containsString="0" containsNumber="1" containsInteger="1" minValue="572" maxValue="1156"/>
    </cacheField>
    <cacheField name="corner_taken" numFmtId="0">
      <sharedItems containsSemiMixedTypes="0" containsString="0" containsNumber="1" containsInteger="1" minValue="136" maxValue="309"/>
    </cacheField>
    <cacheField name="touches" numFmtId="0">
      <sharedItems containsSemiMixedTypes="0" containsString="0" containsNumber="1" containsInteger="1" minValue="16772" maxValue="35130"/>
    </cacheField>
    <cacheField name="big_chance_missed" numFmtId="0">
      <sharedItems containsString="0" containsBlank="1" containsNumber="1" containsInteger="1" minValue="18" maxValue="88"/>
    </cacheField>
    <cacheField name="clearance_off_line" numFmtId="0">
      <sharedItems containsSemiMixedTypes="0" containsString="0" containsNumber="1" containsInteger="1" minValue="0" maxValue="16"/>
    </cacheField>
    <cacheField name="dispossessed" numFmtId="0">
      <sharedItems containsString="0" containsBlank="1" containsNumber="1" containsInteger="1" minValue="296" maxValue="776"/>
    </cacheField>
    <cacheField name="penalty_save" numFmtId="0">
      <sharedItems containsSemiMixedTypes="0" containsString="0" containsNumber="1" containsInteger="1" minValue="0" maxValue="5"/>
    </cacheField>
    <cacheField name="total_high_claim" numFmtId="0">
      <sharedItems containsSemiMixedTypes="0" containsString="0" containsNumber="1" containsInteger="1" minValue="19" maxValue="118"/>
    </cacheField>
    <cacheField name="punches" numFmtId="0">
      <sharedItems containsSemiMixedTypes="0" containsString="0" containsNumber="1" containsInteger="1" minValue="4" maxValue="66"/>
    </cacheField>
    <cacheField name="season" numFmtId="0">
      <sharedItems count="12">
        <s v="2006-2007"/>
        <s v="2007-2008"/>
        <s v="2008-2009"/>
        <s v="2009-2010"/>
        <s v="2010-2011"/>
        <s v="2011-2012"/>
        <s v="2012-2013"/>
        <s v="2013-2014"/>
        <s v="2014-2015"/>
        <s v="2015-2016"/>
        <s v="2016-2017"/>
        <s v="2017-2018"/>
      </sharedItems>
    </cacheField>
    <cacheField name="Percent Goal" numFmtId="0" formula="ontarget_scoring_att/goals" databaseField="0"/>
    <cacheField name="Field1" numFmtId="0" formula="goals/ontarget_scoring_att" databaseField="0"/>
    <cacheField name="Goal Precentage" numFmtId="0" formula="goals/ontarget_scoring_att" databaseField="0"/>
  </cacheFields>
  <extLst>
    <ext xmlns:x14="http://schemas.microsoft.com/office/spreadsheetml/2009/9/main" uri="{725AE2AE-9491-48be-B2B4-4EB974FC3084}">
      <x14:pivotCacheDefinition pivotCacheId="114158962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0">
  <r>
    <x v="0"/>
    <n v="28"/>
    <n v="5"/>
    <n v="83"/>
    <n v="60"/>
    <n v="1"/>
    <n v="698"/>
    <n v="256"/>
    <n v="21"/>
    <n v="12"/>
    <n v="5"/>
    <n v="1"/>
    <n v="72"/>
    <n v="11"/>
    <n v="9"/>
    <n v="80"/>
    <n v="16"/>
    <n v="27"/>
    <n v="2"/>
    <n v="81"/>
    <n v="254"/>
    <n v="890"/>
    <n v="1"/>
    <n v="1222"/>
    <m/>
    <n v="1"/>
    <n v="5"/>
    <n v="3"/>
    <n v="18723"/>
    <m/>
    <n v="2397"/>
    <m/>
    <n v="918"/>
    <n v="258"/>
    <n v="25686"/>
    <m/>
    <n v="1"/>
    <m/>
    <n v="2"/>
    <n v="37"/>
    <n v="25"/>
    <x v="0"/>
  </r>
  <r>
    <x v="1"/>
    <n v="24"/>
    <n v="3"/>
    <n v="64"/>
    <n v="62"/>
    <n v="4"/>
    <n v="636"/>
    <n v="216"/>
    <n v="14"/>
    <n v="16"/>
    <n v="3"/>
    <n v="6"/>
    <n v="41"/>
    <n v="23"/>
    <n v="6"/>
    <n v="127"/>
    <n v="22"/>
    <n v="24"/>
    <n v="4"/>
    <n v="74"/>
    <n v="292"/>
    <n v="982"/>
    <n v="0"/>
    <n v="1206"/>
    <m/>
    <n v="1"/>
    <n v="3"/>
    <n v="2"/>
    <n v="16759"/>
    <m/>
    <n v="2270"/>
    <m/>
    <n v="897"/>
    <n v="231"/>
    <n v="24010"/>
    <m/>
    <n v="2"/>
    <m/>
    <n v="1"/>
    <n v="74"/>
    <n v="22"/>
    <x v="0"/>
  </r>
  <r>
    <x v="2"/>
    <n v="20"/>
    <n v="10"/>
    <n v="57"/>
    <n v="44"/>
    <n v="0"/>
    <n v="668"/>
    <n v="214"/>
    <n v="15"/>
    <n v="8"/>
    <n v="6"/>
    <n v="1"/>
    <n v="46"/>
    <n v="11"/>
    <n v="3"/>
    <n v="120"/>
    <n v="20"/>
    <n v="27"/>
    <n v="1"/>
    <n v="65"/>
    <n v="246"/>
    <n v="969"/>
    <n v="2"/>
    <n v="1115"/>
    <m/>
    <n v="0"/>
    <n v="1"/>
    <n v="1"/>
    <n v="17154"/>
    <m/>
    <n v="2800"/>
    <m/>
    <n v="1107"/>
    <n v="282"/>
    <n v="24150"/>
    <m/>
    <n v="1"/>
    <m/>
    <n v="0"/>
    <n v="51"/>
    <n v="27"/>
    <x v="0"/>
  </r>
  <r>
    <x v="3"/>
    <n v="19"/>
    <n v="8"/>
    <n v="63"/>
    <n v="59"/>
    <n v="3"/>
    <n v="638"/>
    <n v="226"/>
    <n v="19"/>
    <n v="10"/>
    <n v="10"/>
    <n v="3"/>
    <n v="53"/>
    <n v="10"/>
    <n v="7"/>
    <n v="111"/>
    <n v="12"/>
    <n v="35"/>
    <n v="6"/>
    <n v="73"/>
    <n v="214"/>
    <n v="998"/>
    <n v="1"/>
    <n v="1202"/>
    <m/>
    <n v="1"/>
    <n v="3"/>
    <n v="3"/>
    <n v="18458"/>
    <m/>
    <n v="2045"/>
    <m/>
    <n v="873"/>
    <n v="278"/>
    <n v="25592"/>
    <m/>
    <n v="1"/>
    <m/>
    <n v="0"/>
    <n v="88"/>
    <n v="27"/>
    <x v="0"/>
  </r>
  <r>
    <x v="4"/>
    <n v="17"/>
    <n v="12"/>
    <n v="57"/>
    <n v="48"/>
    <n v="3"/>
    <n v="520"/>
    <n v="184"/>
    <n v="6"/>
    <n v="5"/>
    <n v="6"/>
    <n v="2"/>
    <n v="44"/>
    <n v="13"/>
    <n v="9"/>
    <n v="149"/>
    <n v="6"/>
    <n v="54"/>
    <n v="11"/>
    <n v="128"/>
    <n v="276"/>
    <n v="995"/>
    <n v="2"/>
    <n v="1412"/>
    <m/>
    <n v="2"/>
    <n v="7"/>
    <n v="6"/>
    <n v="14914"/>
    <m/>
    <n v="2408"/>
    <m/>
    <n v="796"/>
    <n v="181"/>
    <n v="22200"/>
    <m/>
    <n v="2"/>
    <m/>
    <n v="0"/>
    <n v="51"/>
    <n v="24"/>
    <x v="0"/>
  </r>
  <r>
    <x v="5"/>
    <n v="16"/>
    <n v="14"/>
    <n v="47"/>
    <n v="84"/>
    <n v="4"/>
    <n v="404"/>
    <n v="120"/>
    <n v="7"/>
    <n v="10"/>
    <n v="6"/>
    <n v="0"/>
    <n v="38"/>
    <n v="9"/>
    <n v="3"/>
    <n v="95"/>
    <n v="12"/>
    <n v="52"/>
    <n v="13"/>
    <n v="101"/>
    <n v="235"/>
    <n v="811"/>
    <n v="0"/>
    <n v="1037"/>
    <m/>
    <n v="3"/>
    <n v="8"/>
    <n v="6"/>
    <n v="12400"/>
    <m/>
    <n v="2403"/>
    <m/>
    <n v="942"/>
    <n v="217"/>
    <n v="18932"/>
    <m/>
    <n v="6"/>
    <m/>
    <n v="2"/>
    <n v="44"/>
    <n v="21"/>
    <x v="0"/>
  </r>
  <r>
    <x v="6"/>
    <n v="16"/>
    <n v="15"/>
    <n v="52"/>
    <n v="38"/>
    <n v="3"/>
    <n v="419"/>
    <n v="132"/>
    <n v="8"/>
    <n v="15"/>
    <n v="3"/>
    <n v="0"/>
    <n v="42"/>
    <n v="10"/>
    <n v="3"/>
    <n v="87"/>
    <n v="13"/>
    <n v="47"/>
    <n v="4"/>
    <n v="95"/>
    <n v="277"/>
    <n v="855"/>
    <n v="0"/>
    <n v="1022"/>
    <m/>
    <n v="3"/>
    <n v="6"/>
    <n v="6"/>
    <n v="11232"/>
    <m/>
    <n v="2378"/>
    <m/>
    <n v="1067"/>
    <n v="280"/>
    <n v="18017"/>
    <m/>
    <n v="2"/>
    <m/>
    <n v="0"/>
    <n v="63"/>
    <n v="21"/>
    <x v="0"/>
  </r>
  <r>
    <x v="7"/>
    <n v="15"/>
    <n v="16"/>
    <n v="52"/>
    <n v="77"/>
    <n v="6"/>
    <n v="478"/>
    <n v="155"/>
    <n v="5"/>
    <n v="12"/>
    <n v="5"/>
    <n v="3"/>
    <n v="43"/>
    <n v="9"/>
    <n v="2"/>
    <n v="142"/>
    <n v="8"/>
    <n v="54"/>
    <n v="22"/>
    <n v="114"/>
    <n v="282"/>
    <n v="864"/>
    <n v="2"/>
    <n v="1095"/>
    <m/>
    <n v="2"/>
    <n v="11"/>
    <n v="6"/>
    <n v="14033"/>
    <m/>
    <n v="2544"/>
    <m/>
    <n v="911"/>
    <n v="205"/>
    <n v="20812"/>
    <m/>
    <n v="8"/>
    <m/>
    <n v="5"/>
    <n v="56"/>
    <n v="25"/>
    <x v="0"/>
  </r>
  <r>
    <x v="8"/>
    <n v="15"/>
    <n v="10"/>
    <n v="52"/>
    <n v="65"/>
    <n v="2"/>
    <n v="465"/>
    <n v="153"/>
    <n v="9"/>
    <n v="9"/>
    <n v="8"/>
    <n v="2"/>
    <n v="44"/>
    <n v="8"/>
    <n v="3"/>
    <n v="81"/>
    <n v="14"/>
    <n v="36"/>
    <n v="5"/>
    <n v="120"/>
    <n v="303"/>
    <n v="860"/>
    <n v="1"/>
    <n v="1386"/>
    <m/>
    <n v="3"/>
    <n v="4"/>
    <n v="2"/>
    <n v="12274"/>
    <m/>
    <n v="2288"/>
    <m/>
    <n v="867"/>
    <n v="208"/>
    <n v="19250"/>
    <m/>
    <n v="2"/>
    <m/>
    <n v="1"/>
    <n v="83"/>
    <n v="15"/>
    <x v="0"/>
  </r>
  <r>
    <x v="9"/>
    <n v="14"/>
    <n v="12"/>
    <n v="45"/>
    <n v="48"/>
    <n v="1"/>
    <n v="525"/>
    <n v="186"/>
    <n v="9"/>
    <n v="13"/>
    <n v="2"/>
    <n v="0"/>
    <n v="32"/>
    <n v="13"/>
    <n v="2"/>
    <n v="141"/>
    <n v="12"/>
    <n v="42"/>
    <n v="14"/>
    <n v="96"/>
    <n v="220"/>
    <n v="948"/>
    <n v="1"/>
    <n v="1164"/>
    <m/>
    <n v="0"/>
    <n v="8"/>
    <n v="6"/>
    <n v="12616"/>
    <m/>
    <n v="2276"/>
    <m/>
    <n v="783"/>
    <n v="247"/>
    <n v="19377"/>
    <m/>
    <n v="4"/>
    <m/>
    <n v="2"/>
    <n v="79"/>
    <n v="30"/>
    <x v="0"/>
  </r>
  <r>
    <x v="10"/>
    <n v="12"/>
    <n v="16"/>
    <n v="44"/>
    <n v="64"/>
    <n v="2"/>
    <n v="454"/>
    <n v="144"/>
    <n v="7"/>
    <n v="7"/>
    <n v="4"/>
    <n v="1"/>
    <n v="37"/>
    <n v="7"/>
    <n v="3"/>
    <n v="89"/>
    <n v="9"/>
    <n v="49"/>
    <n v="18"/>
    <n v="119"/>
    <n v="238"/>
    <n v="841"/>
    <n v="1"/>
    <n v="1243"/>
    <m/>
    <n v="1"/>
    <n v="7"/>
    <n v="7"/>
    <n v="12779"/>
    <m/>
    <n v="2403"/>
    <m/>
    <n v="769"/>
    <n v="187"/>
    <n v="19199"/>
    <m/>
    <n v="5"/>
    <m/>
    <n v="0"/>
    <n v="78"/>
    <n v="37"/>
    <x v="0"/>
  </r>
  <r>
    <x v="11"/>
    <n v="12"/>
    <n v="21"/>
    <n v="35"/>
    <n v="85"/>
    <n v="2"/>
    <n v="461"/>
    <n v="134"/>
    <n v="8"/>
    <n v="3"/>
    <n v="1"/>
    <n v="2"/>
    <n v="27"/>
    <n v="8"/>
    <n v="3"/>
    <n v="92"/>
    <n v="9"/>
    <n v="59"/>
    <n v="4"/>
    <n v="132"/>
    <n v="233"/>
    <n v="860"/>
    <n v="1"/>
    <n v="1232"/>
    <m/>
    <n v="2"/>
    <n v="4"/>
    <n v="4"/>
    <n v="13178"/>
    <m/>
    <n v="2403"/>
    <m/>
    <n v="849"/>
    <n v="196"/>
    <n v="20040"/>
    <m/>
    <n v="5"/>
    <m/>
    <n v="0"/>
    <n v="64"/>
    <n v="25"/>
    <x v="0"/>
  </r>
  <r>
    <x v="12"/>
    <n v="11"/>
    <n v="10"/>
    <n v="43"/>
    <n v="48"/>
    <n v="1"/>
    <n v="470"/>
    <n v="154"/>
    <n v="9"/>
    <n v="5"/>
    <n v="6"/>
    <n v="1"/>
    <n v="34"/>
    <n v="9"/>
    <n v="6"/>
    <n v="147"/>
    <n v="13"/>
    <n v="41"/>
    <n v="1"/>
    <n v="115"/>
    <n v="221"/>
    <n v="936"/>
    <n v="0"/>
    <n v="1212"/>
    <m/>
    <n v="1"/>
    <n v="4"/>
    <n v="3"/>
    <n v="13254"/>
    <m/>
    <n v="2152"/>
    <m/>
    <n v="886"/>
    <n v="213"/>
    <n v="20002"/>
    <m/>
    <n v="5"/>
    <m/>
    <n v="0"/>
    <n v="57"/>
    <n v="26"/>
    <x v="0"/>
  </r>
  <r>
    <x v="13"/>
    <n v="11"/>
    <n v="18"/>
    <n v="29"/>
    <n v="59"/>
    <n v="4"/>
    <n v="454"/>
    <n v="147"/>
    <n v="5"/>
    <n v="3"/>
    <n v="2"/>
    <n v="0"/>
    <n v="23"/>
    <n v="6"/>
    <n v="5"/>
    <n v="142"/>
    <n v="14"/>
    <n v="44"/>
    <n v="0"/>
    <n v="110"/>
    <n v="234"/>
    <n v="986"/>
    <n v="1"/>
    <n v="1213"/>
    <m/>
    <n v="2"/>
    <n v="3"/>
    <n v="2"/>
    <n v="12765"/>
    <m/>
    <n v="2059"/>
    <m/>
    <n v="811"/>
    <n v="198"/>
    <n v="19378"/>
    <m/>
    <n v="4"/>
    <m/>
    <n v="1"/>
    <n v="64"/>
    <n v="17"/>
    <x v="0"/>
  </r>
  <r>
    <x v="14"/>
    <n v="11"/>
    <n v="17"/>
    <n v="38"/>
    <n v="65"/>
    <n v="1"/>
    <n v="454"/>
    <n v="140"/>
    <n v="11"/>
    <n v="8"/>
    <n v="5"/>
    <n v="0"/>
    <n v="30"/>
    <n v="8"/>
    <n v="6"/>
    <n v="102"/>
    <n v="7"/>
    <n v="47"/>
    <n v="5"/>
    <n v="141"/>
    <n v="361"/>
    <n v="965"/>
    <n v="0"/>
    <n v="1004"/>
    <m/>
    <n v="2"/>
    <n v="2"/>
    <n v="2"/>
    <n v="14628"/>
    <m/>
    <n v="2649"/>
    <m/>
    <n v="793"/>
    <n v="195"/>
    <n v="21213"/>
    <m/>
    <n v="9"/>
    <m/>
    <n v="0"/>
    <n v="48"/>
    <n v="26"/>
    <x v="0"/>
  </r>
  <r>
    <x v="15"/>
    <n v="10"/>
    <n v="20"/>
    <n v="32"/>
    <n v="68"/>
    <n v="2"/>
    <n v="483"/>
    <n v="147"/>
    <n v="14"/>
    <n v="10"/>
    <n v="2"/>
    <n v="2"/>
    <n v="25"/>
    <n v="7"/>
    <n v="2"/>
    <n v="82"/>
    <n v="9"/>
    <n v="55"/>
    <n v="3"/>
    <n v="122"/>
    <n v="203"/>
    <n v="917"/>
    <n v="2"/>
    <n v="1217"/>
    <m/>
    <n v="2"/>
    <n v="8"/>
    <n v="7"/>
    <n v="11123"/>
    <m/>
    <n v="2248"/>
    <m/>
    <n v="800"/>
    <n v="178"/>
    <n v="17713"/>
    <m/>
    <n v="8"/>
    <m/>
    <n v="1"/>
    <n v="43"/>
    <n v="21"/>
    <x v="0"/>
  </r>
  <r>
    <x v="16"/>
    <n v="10"/>
    <n v="20"/>
    <n v="37"/>
    <n v="73"/>
    <n v="3"/>
    <n v="474"/>
    <n v="147"/>
    <n v="9"/>
    <n v="6"/>
    <n v="3"/>
    <n v="1"/>
    <n v="31"/>
    <n v="6"/>
    <n v="2"/>
    <n v="84"/>
    <n v="10"/>
    <n v="59"/>
    <n v="13"/>
    <n v="91"/>
    <n v="204"/>
    <n v="809"/>
    <n v="0"/>
    <n v="1206"/>
    <m/>
    <n v="5"/>
    <n v="7"/>
    <n v="5"/>
    <n v="11353"/>
    <m/>
    <n v="2418"/>
    <m/>
    <n v="813"/>
    <n v="177"/>
    <n v="17564"/>
    <m/>
    <n v="4"/>
    <m/>
    <n v="2"/>
    <n v="61"/>
    <n v="29"/>
    <x v="0"/>
  </r>
  <r>
    <x v="17"/>
    <n v="8"/>
    <n v="20"/>
    <n v="34"/>
    <n v="56"/>
    <n v="4"/>
    <n v="418"/>
    <n v="133"/>
    <n v="11"/>
    <n v="6"/>
    <n v="4"/>
    <n v="1"/>
    <n v="27"/>
    <n v="7"/>
    <n v="2"/>
    <n v="96"/>
    <n v="11"/>
    <n v="60"/>
    <n v="5"/>
    <n v="138"/>
    <n v="340"/>
    <n v="919"/>
    <n v="0"/>
    <n v="1483"/>
    <m/>
    <n v="2"/>
    <n v="7"/>
    <n v="5"/>
    <n v="12722"/>
    <m/>
    <n v="2466"/>
    <m/>
    <n v="750"/>
    <n v="178"/>
    <n v="19497"/>
    <m/>
    <n v="7"/>
    <m/>
    <n v="2"/>
    <n v="50"/>
    <n v="13"/>
    <x v="0"/>
  </r>
  <r>
    <x v="18"/>
    <n v="8"/>
    <n v="15"/>
    <n v="38"/>
    <n v="56"/>
    <n v="3"/>
    <n v="451"/>
    <n v="142"/>
    <n v="8"/>
    <n v="8"/>
    <n v="3"/>
    <n v="1"/>
    <n v="30"/>
    <n v="8"/>
    <n v="0"/>
    <n v="94"/>
    <n v="7"/>
    <n v="60"/>
    <n v="12"/>
    <n v="98"/>
    <n v="198"/>
    <n v="901"/>
    <n v="0"/>
    <n v="1386"/>
    <m/>
    <n v="2"/>
    <n v="8"/>
    <n v="6"/>
    <n v="11820"/>
    <m/>
    <n v="2214"/>
    <m/>
    <n v="895"/>
    <n v="173"/>
    <n v="18720"/>
    <m/>
    <n v="6"/>
    <m/>
    <n v="1"/>
    <n v="45"/>
    <n v="22"/>
    <x v="0"/>
  </r>
  <r>
    <x v="19"/>
    <n v="5"/>
    <n v="20"/>
    <n v="29"/>
    <n v="45"/>
    <n v="2"/>
    <n v="418"/>
    <n v="135"/>
    <n v="10"/>
    <n v="4"/>
    <n v="3"/>
    <n v="0"/>
    <n v="24"/>
    <n v="5"/>
    <n v="0"/>
    <n v="122"/>
    <n v="9"/>
    <n v="59"/>
    <n v="17"/>
    <n v="117"/>
    <n v="221"/>
    <n v="744"/>
    <n v="1"/>
    <n v="1179"/>
    <m/>
    <n v="5"/>
    <n v="6"/>
    <n v="5"/>
    <n v="10175"/>
    <m/>
    <n v="2263"/>
    <m/>
    <n v="983"/>
    <n v="212"/>
    <n v="16772"/>
    <m/>
    <n v="3"/>
    <m/>
    <n v="0"/>
    <n v="63"/>
    <n v="15"/>
    <x v="0"/>
  </r>
  <r>
    <x v="0"/>
    <n v="27"/>
    <n v="5"/>
    <n v="80"/>
    <n v="51"/>
    <n v="2"/>
    <n v="696"/>
    <n v="260"/>
    <n v="16"/>
    <n v="12"/>
    <n v="6"/>
    <n v="6"/>
    <n v="64"/>
    <n v="16"/>
    <n v="7"/>
    <n v="100"/>
    <n v="21"/>
    <n v="22"/>
    <n v="2"/>
    <n v="96"/>
    <n v="446"/>
    <n v="978"/>
    <n v="2"/>
    <n v="2022"/>
    <n v="1140"/>
    <n v="0"/>
    <n v="1"/>
    <n v="1"/>
    <n v="17422"/>
    <n v="90"/>
    <n v="2417"/>
    <m/>
    <n v="936"/>
    <n v="261"/>
    <n v="26620"/>
    <m/>
    <n v="10"/>
    <n v="627"/>
    <n v="0"/>
    <n v="47"/>
    <n v="23"/>
    <x v="1"/>
  </r>
  <r>
    <x v="1"/>
    <n v="25"/>
    <n v="3"/>
    <n v="65"/>
    <n v="63"/>
    <n v="5"/>
    <n v="605"/>
    <n v="199"/>
    <n v="12"/>
    <n v="10"/>
    <n v="7"/>
    <n v="1"/>
    <n v="52"/>
    <n v="13"/>
    <n v="3"/>
    <n v="128"/>
    <n v="21"/>
    <n v="26"/>
    <n v="4"/>
    <n v="101"/>
    <n v="506"/>
    <n v="917"/>
    <n v="4"/>
    <n v="1687"/>
    <n v="851"/>
    <n v="0"/>
    <n v="3"/>
    <n v="3"/>
    <n v="17252"/>
    <n v="91"/>
    <n v="2154"/>
    <m/>
    <n v="945"/>
    <n v="253"/>
    <n v="26290"/>
    <m/>
    <n v="8"/>
    <n v="687"/>
    <n v="0"/>
    <n v="62"/>
    <n v="19"/>
    <x v="1"/>
  </r>
  <r>
    <x v="3"/>
    <n v="24"/>
    <n v="3"/>
    <n v="74"/>
    <n v="55"/>
    <n v="3"/>
    <n v="627"/>
    <n v="208"/>
    <n v="13"/>
    <n v="14"/>
    <n v="5"/>
    <n v="1"/>
    <n v="65"/>
    <n v="9"/>
    <n v="7"/>
    <n v="110"/>
    <n v="15"/>
    <n v="31"/>
    <n v="0"/>
    <n v="91"/>
    <n v="505"/>
    <n v="878"/>
    <n v="1"/>
    <n v="1840"/>
    <n v="926"/>
    <n v="2"/>
    <n v="4"/>
    <n v="3"/>
    <n v="18831"/>
    <n v="92"/>
    <n v="1946"/>
    <m/>
    <n v="888"/>
    <n v="234"/>
    <n v="28156"/>
    <m/>
    <n v="2"/>
    <n v="776"/>
    <n v="1"/>
    <n v="45"/>
    <n v="26"/>
    <x v="1"/>
  </r>
  <r>
    <x v="2"/>
    <n v="21"/>
    <n v="4"/>
    <n v="67"/>
    <n v="45"/>
    <n v="1"/>
    <n v="686"/>
    <n v="214"/>
    <n v="13"/>
    <n v="7"/>
    <n v="5"/>
    <n v="2"/>
    <n v="51"/>
    <n v="16"/>
    <n v="7"/>
    <n v="93"/>
    <n v="18"/>
    <n v="28"/>
    <n v="0"/>
    <n v="83"/>
    <n v="614"/>
    <n v="1089"/>
    <n v="2"/>
    <n v="1952"/>
    <n v="1060"/>
    <n v="2"/>
    <n v="5"/>
    <n v="4"/>
    <n v="16360"/>
    <n v="57"/>
    <n v="2761"/>
    <m/>
    <n v="932"/>
    <n v="237"/>
    <n v="25857"/>
    <m/>
    <n v="4"/>
    <n v="613"/>
    <n v="1"/>
    <n v="42"/>
    <n v="22"/>
    <x v="1"/>
  </r>
  <r>
    <x v="8"/>
    <n v="19"/>
    <n v="11"/>
    <n v="55"/>
    <n v="40"/>
    <n v="3"/>
    <n v="474"/>
    <n v="169"/>
    <n v="4"/>
    <n v="13"/>
    <n v="1"/>
    <n v="1"/>
    <n v="48"/>
    <n v="7"/>
    <n v="7"/>
    <n v="73"/>
    <n v="14"/>
    <n v="33"/>
    <n v="0"/>
    <n v="133"/>
    <n v="496"/>
    <n v="816"/>
    <n v="2"/>
    <n v="2136"/>
    <n v="1006"/>
    <n v="1"/>
    <n v="4"/>
    <n v="4"/>
    <n v="12397"/>
    <n v="28"/>
    <n v="2142"/>
    <m/>
    <n v="877"/>
    <n v="198"/>
    <n v="21360"/>
    <m/>
    <n v="8"/>
    <n v="620"/>
    <n v="0"/>
    <n v="55"/>
    <n v="20"/>
    <x v="1"/>
  </r>
  <r>
    <x v="12"/>
    <n v="16"/>
    <n v="10"/>
    <n v="71"/>
    <n v="54"/>
    <n v="4"/>
    <n v="511"/>
    <n v="182"/>
    <n v="11"/>
    <n v="16"/>
    <n v="6"/>
    <n v="5"/>
    <n v="55"/>
    <n v="16"/>
    <n v="3"/>
    <n v="115"/>
    <n v="9"/>
    <n v="51"/>
    <n v="3"/>
    <n v="139"/>
    <n v="461"/>
    <n v="885"/>
    <n v="0"/>
    <n v="2220"/>
    <n v="1183"/>
    <n v="3"/>
    <n v="4"/>
    <n v="2"/>
    <n v="11438"/>
    <n v="30"/>
    <n v="1982"/>
    <m/>
    <n v="932"/>
    <n v="229"/>
    <n v="20734"/>
    <m/>
    <n v="6"/>
    <n v="655"/>
    <n v="2"/>
    <n v="40"/>
    <n v="14"/>
    <x v="1"/>
  </r>
  <r>
    <x v="9"/>
    <n v="16"/>
    <n v="13"/>
    <n v="48"/>
    <n v="55"/>
    <n v="3"/>
    <n v="559"/>
    <n v="160"/>
    <n v="9"/>
    <n v="4"/>
    <n v="4"/>
    <n v="2"/>
    <n v="35"/>
    <n v="13"/>
    <n v="6"/>
    <n v="95"/>
    <n v="16"/>
    <n v="40"/>
    <n v="4"/>
    <n v="105"/>
    <n v="521"/>
    <n v="963"/>
    <n v="1"/>
    <n v="2103"/>
    <n v="1029"/>
    <n v="3"/>
    <n v="4"/>
    <n v="2"/>
    <n v="12794"/>
    <n v="37"/>
    <n v="2278"/>
    <m/>
    <n v="663"/>
    <n v="184"/>
    <n v="21907"/>
    <m/>
    <n v="4"/>
    <n v="683"/>
    <n v="2"/>
    <n v="77"/>
    <n v="28"/>
    <x v="1"/>
  </r>
  <r>
    <x v="7"/>
    <n v="15"/>
    <n v="10"/>
    <n v="50"/>
    <n v="72"/>
    <n v="6"/>
    <n v="530"/>
    <n v="185"/>
    <n v="14"/>
    <n v="11"/>
    <n v="5"/>
    <n v="1"/>
    <n v="40"/>
    <n v="10"/>
    <n v="3"/>
    <n v="95"/>
    <n v="8"/>
    <n v="48"/>
    <n v="0"/>
    <n v="116"/>
    <n v="550"/>
    <n v="833"/>
    <n v="3"/>
    <n v="2065"/>
    <n v="1003"/>
    <n v="1"/>
    <n v="6"/>
    <n v="4"/>
    <n v="13650"/>
    <n v="31"/>
    <n v="2281"/>
    <m/>
    <n v="883"/>
    <n v="196"/>
    <n v="22599"/>
    <m/>
    <n v="5"/>
    <n v="532"/>
    <n v="2"/>
    <n v="59"/>
    <n v="27"/>
    <x v="1"/>
  </r>
  <r>
    <x v="13"/>
    <n v="15"/>
    <n v="13"/>
    <n v="45"/>
    <n v="50"/>
    <n v="4"/>
    <n v="423"/>
    <n v="143"/>
    <n v="5"/>
    <n v="5"/>
    <n v="2"/>
    <n v="2"/>
    <n v="34"/>
    <n v="11"/>
    <n v="3"/>
    <n v="103"/>
    <n v="11"/>
    <n v="53"/>
    <n v="4"/>
    <n v="151"/>
    <n v="482"/>
    <n v="916"/>
    <n v="3"/>
    <n v="1852"/>
    <n v="819"/>
    <n v="2"/>
    <n v="4"/>
    <n v="2"/>
    <n v="15149"/>
    <n v="45"/>
    <n v="2289"/>
    <m/>
    <n v="695"/>
    <n v="156"/>
    <n v="23416"/>
    <m/>
    <n v="7"/>
    <n v="559"/>
    <n v="2"/>
    <n v="45"/>
    <n v="43"/>
    <x v="1"/>
  </r>
  <r>
    <x v="11"/>
    <n v="13"/>
    <n v="15"/>
    <n v="42"/>
    <n v="63"/>
    <n v="1"/>
    <n v="500"/>
    <n v="154"/>
    <n v="15"/>
    <n v="7"/>
    <n v="2"/>
    <n v="2"/>
    <n v="34"/>
    <n v="8"/>
    <n v="3"/>
    <n v="117"/>
    <n v="8"/>
    <n v="50"/>
    <n v="1"/>
    <n v="142"/>
    <n v="444"/>
    <n v="848"/>
    <n v="1"/>
    <n v="1952"/>
    <n v="978"/>
    <n v="1"/>
    <n v="6"/>
    <n v="2"/>
    <n v="13773"/>
    <n v="39"/>
    <n v="2376"/>
    <m/>
    <n v="910"/>
    <n v="207"/>
    <n v="22347"/>
    <m/>
    <n v="8"/>
    <n v="511"/>
    <n v="3"/>
    <n v="77"/>
    <n v="19"/>
    <x v="1"/>
  </r>
  <r>
    <x v="14"/>
    <n v="11"/>
    <n v="17"/>
    <n v="45"/>
    <n v="63"/>
    <n v="1"/>
    <n v="481"/>
    <n v="153"/>
    <n v="10"/>
    <n v="10"/>
    <n v="4"/>
    <n v="2"/>
    <n v="34"/>
    <n v="10"/>
    <n v="1"/>
    <n v="102"/>
    <n v="8"/>
    <n v="65"/>
    <n v="0"/>
    <n v="132"/>
    <n v="553"/>
    <n v="876"/>
    <n v="1"/>
    <n v="1823"/>
    <n v="874"/>
    <n v="1"/>
    <n v="2"/>
    <n v="2"/>
    <n v="13947"/>
    <n v="31"/>
    <n v="2420"/>
    <m/>
    <n v="966"/>
    <n v="209"/>
    <n v="22761"/>
    <m/>
    <n v="8"/>
    <n v="717"/>
    <n v="0"/>
    <n v="35"/>
    <n v="20"/>
    <x v="1"/>
  </r>
  <r>
    <x v="20"/>
    <n v="11"/>
    <n v="21"/>
    <n v="36"/>
    <n v="65"/>
    <n v="4"/>
    <n v="483"/>
    <n v="137"/>
    <n v="7"/>
    <n v="10"/>
    <n v="1"/>
    <n v="0"/>
    <n v="31"/>
    <n v="5"/>
    <n v="2"/>
    <n v="75"/>
    <n v="7"/>
    <n v="59"/>
    <n v="0"/>
    <n v="125"/>
    <n v="650"/>
    <n v="892"/>
    <n v="0"/>
    <n v="2051"/>
    <n v="1031"/>
    <n v="3"/>
    <n v="9"/>
    <n v="9"/>
    <n v="12727"/>
    <n v="19"/>
    <n v="2244"/>
    <m/>
    <n v="889"/>
    <n v="183"/>
    <n v="21415"/>
    <m/>
    <n v="5"/>
    <n v="586"/>
    <n v="0"/>
    <n v="40"/>
    <n v="25"/>
    <x v="1"/>
  </r>
  <r>
    <x v="4"/>
    <n v="11"/>
    <n v="14"/>
    <n v="66"/>
    <n v="51"/>
    <n v="1"/>
    <n v="555"/>
    <n v="195"/>
    <n v="19"/>
    <n v="12"/>
    <n v="4"/>
    <n v="1"/>
    <n v="59"/>
    <n v="7"/>
    <n v="9"/>
    <n v="123"/>
    <n v="9"/>
    <n v="61"/>
    <n v="0"/>
    <n v="125"/>
    <n v="534"/>
    <n v="960"/>
    <n v="2"/>
    <n v="2043"/>
    <n v="1053"/>
    <n v="1"/>
    <n v="1"/>
    <n v="1"/>
    <n v="15466"/>
    <n v="56"/>
    <n v="2428"/>
    <m/>
    <n v="994"/>
    <n v="238"/>
    <n v="24679"/>
    <m/>
    <n v="6"/>
    <n v="612"/>
    <n v="0"/>
    <n v="46"/>
    <n v="21"/>
    <x v="1"/>
  </r>
  <r>
    <x v="10"/>
    <n v="10"/>
    <n v="16"/>
    <n v="43"/>
    <n v="86"/>
    <n v="2"/>
    <n v="499"/>
    <n v="152"/>
    <n v="13"/>
    <n v="9"/>
    <n v="2"/>
    <n v="2"/>
    <n v="37"/>
    <n v="6"/>
    <n v="6"/>
    <n v="126"/>
    <n v="8"/>
    <n v="53"/>
    <n v="0"/>
    <n v="136"/>
    <n v="528"/>
    <n v="835"/>
    <n v="0"/>
    <n v="2139"/>
    <n v="1043"/>
    <n v="5"/>
    <n v="2"/>
    <n v="2"/>
    <n v="12200"/>
    <n v="48"/>
    <n v="2341"/>
    <m/>
    <n v="960"/>
    <n v="219"/>
    <n v="21064"/>
    <m/>
    <n v="2"/>
    <n v="575"/>
    <n v="0"/>
    <n v="68"/>
    <n v="38"/>
    <x v="1"/>
  </r>
  <r>
    <x v="6"/>
    <n v="10"/>
    <n v="22"/>
    <n v="41"/>
    <n v="59"/>
    <n v="5"/>
    <n v="441"/>
    <n v="132"/>
    <n v="10"/>
    <n v="12"/>
    <n v="2"/>
    <n v="1"/>
    <n v="35"/>
    <n v="6"/>
    <n v="3"/>
    <n v="60"/>
    <n v="8"/>
    <n v="66"/>
    <n v="7"/>
    <n v="128"/>
    <n v="452"/>
    <n v="800"/>
    <n v="2"/>
    <n v="1783"/>
    <n v="859"/>
    <n v="2"/>
    <n v="7"/>
    <n v="3"/>
    <n v="10431"/>
    <n v="45"/>
    <n v="2199"/>
    <m/>
    <n v="1087"/>
    <n v="238"/>
    <n v="19140"/>
    <m/>
    <n v="6"/>
    <n v="532"/>
    <n v="2"/>
    <n v="61"/>
    <n v="28"/>
    <x v="1"/>
  </r>
  <r>
    <x v="16"/>
    <n v="10"/>
    <n v="18"/>
    <n v="34"/>
    <n v="59"/>
    <n v="4"/>
    <n v="489"/>
    <n v="141"/>
    <n v="11"/>
    <n v="6"/>
    <n v="4"/>
    <n v="1"/>
    <n v="28"/>
    <n v="6"/>
    <n v="3"/>
    <n v="137"/>
    <n v="12"/>
    <n v="51"/>
    <n v="5"/>
    <n v="129"/>
    <n v="531"/>
    <n v="883"/>
    <n v="3"/>
    <n v="1837"/>
    <n v="917"/>
    <n v="1"/>
    <n v="4"/>
    <n v="2"/>
    <n v="11684"/>
    <n v="27"/>
    <n v="2163"/>
    <m/>
    <n v="767"/>
    <n v="186"/>
    <n v="19855"/>
    <m/>
    <n v="7"/>
    <n v="510"/>
    <n v="1"/>
    <n v="68"/>
    <n v="14"/>
    <x v="1"/>
  </r>
  <r>
    <x v="5"/>
    <n v="9"/>
    <n v="19"/>
    <n v="36"/>
    <n v="76"/>
    <n v="0"/>
    <n v="451"/>
    <n v="149"/>
    <n v="14"/>
    <n v="5"/>
    <n v="0"/>
    <n v="2"/>
    <n v="30"/>
    <n v="6"/>
    <n v="2"/>
    <n v="111"/>
    <n v="12"/>
    <n v="54"/>
    <n v="0"/>
    <n v="145"/>
    <n v="542"/>
    <n v="866"/>
    <n v="3"/>
    <n v="2166"/>
    <n v="1128"/>
    <n v="4"/>
    <n v="5"/>
    <n v="5"/>
    <n v="11854"/>
    <n v="22"/>
    <n v="2163"/>
    <m/>
    <n v="905"/>
    <n v="208"/>
    <n v="20846"/>
    <m/>
    <n v="6"/>
    <n v="545"/>
    <n v="0"/>
    <n v="47"/>
    <n v="20"/>
    <x v="1"/>
  </r>
  <r>
    <x v="21"/>
    <n v="8"/>
    <n v="19"/>
    <n v="46"/>
    <n v="70"/>
    <n v="3"/>
    <n v="414"/>
    <n v="143"/>
    <n v="6"/>
    <n v="6"/>
    <n v="6"/>
    <n v="5"/>
    <n v="34"/>
    <n v="12"/>
    <n v="1"/>
    <n v="78"/>
    <n v="3"/>
    <n v="62"/>
    <n v="0"/>
    <n v="143"/>
    <n v="515"/>
    <n v="935"/>
    <n v="3"/>
    <n v="2145"/>
    <n v="1023"/>
    <n v="1"/>
    <n v="8"/>
    <n v="8"/>
    <n v="10630"/>
    <n v="35"/>
    <n v="2219"/>
    <m/>
    <n v="774"/>
    <n v="193"/>
    <n v="19541"/>
    <m/>
    <n v="6"/>
    <n v="551"/>
    <n v="0"/>
    <n v="77"/>
    <n v="11"/>
    <x v="1"/>
  </r>
  <r>
    <x v="18"/>
    <n v="8"/>
    <n v="18"/>
    <n v="38"/>
    <n v="55"/>
    <n v="6"/>
    <n v="469"/>
    <n v="154"/>
    <n v="7"/>
    <n v="7"/>
    <n v="2"/>
    <n v="4"/>
    <n v="29"/>
    <n v="9"/>
    <n v="3"/>
    <n v="91"/>
    <n v="7"/>
    <n v="60"/>
    <n v="0"/>
    <n v="119"/>
    <n v="466"/>
    <n v="851"/>
    <n v="2"/>
    <n v="2072"/>
    <n v="938"/>
    <n v="2"/>
    <n v="5"/>
    <n v="5"/>
    <n v="12576"/>
    <n v="29"/>
    <n v="2311"/>
    <m/>
    <n v="849"/>
    <n v="183"/>
    <n v="21259"/>
    <m/>
    <n v="4"/>
    <n v="589"/>
    <n v="0"/>
    <n v="55"/>
    <n v="27"/>
    <x v="1"/>
  </r>
  <r>
    <x v="22"/>
    <n v="1"/>
    <n v="29"/>
    <n v="20"/>
    <n v="63"/>
    <n v="1"/>
    <n v="376"/>
    <n v="116"/>
    <n v="7"/>
    <n v="3"/>
    <n v="0"/>
    <n v="0"/>
    <n v="15"/>
    <n v="5"/>
    <n v="2"/>
    <n v="103"/>
    <n v="3"/>
    <n v="89"/>
    <n v="8"/>
    <n v="129"/>
    <n v="510"/>
    <n v="898"/>
    <n v="5"/>
    <n v="2042"/>
    <n v="976"/>
    <n v="2"/>
    <n v="4"/>
    <n v="4"/>
    <n v="11739"/>
    <n v="29"/>
    <n v="2168"/>
    <m/>
    <n v="804"/>
    <n v="158"/>
    <n v="20140"/>
    <m/>
    <n v="5"/>
    <n v="464"/>
    <n v="0"/>
    <n v="68"/>
    <n v="24"/>
    <x v="1"/>
  </r>
  <r>
    <x v="0"/>
    <n v="28"/>
    <n v="4"/>
    <n v="68"/>
    <n v="61"/>
    <n v="5"/>
    <n v="715"/>
    <n v="230"/>
    <n v="9"/>
    <n v="7"/>
    <n v="4"/>
    <n v="4"/>
    <n v="56"/>
    <n v="12"/>
    <n v="12"/>
    <n v="99"/>
    <n v="24"/>
    <n v="24"/>
    <n v="3"/>
    <n v="120"/>
    <n v="640"/>
    <n v="741"/>
    <n v="8"/>
    <n v="1322"/>
    <n v="716"/>
    <n v="1"/>
    <n v="3"/>
    <n v="3"/>
    <n v="19416"/>
    <n v="291"/>
    <n v="2192"/>
    <m/>
    <n v="1039"/>
    <n v="257"/>
    <n v="30077"/>
    <m/>
    <n v="3"/>
    <n v="579"/>
    <n v="0"/>
    <n v="56"/>
    <n v="22"/>
    <x v="2"/>
  </r>
  <r>
    <x v="1"/>
    <n v="25"/>
    <n v="5"/>
    <n v="68"/>
    <n v="50"/>
    <n v="3"/>
    <n v="797"/>
    <n v="248"/>
    <n v="17"/>
    <n v="12"/>
    <n v="2"/>
    <n v="2"/>
    <n v="59"/>
    <n v="9"/>
    <n v="4"/>
    <n v="114"/>
    <n v="22"/>
    <n v="24"/>
    <n v="5"/>
    <n v="124"/>
    <n v="504"/>
    <n v="773"/>
    <n v="15"/>
    <n v="1069"/>
    <n v="585"/>
    <n v="1"/>
    <n v="1"/>
    <n v="0"/>
    <n v="19923"/>
    <n v="205"/>
    <n v="2121"/>
    <m/>
    <n v="938"/>
    <n v="237"/>
    <n v="29962"/>
    <m/>
    <n v="3"/>
    <n v="518"/>
    <n v="1"/>
    <n v="111"/>
    <n v="35"/>
    <x v="2"/>
  </r>
  <r>
    <x v="2"/>
    <n v="25"/>
    <n v="2"/>
    <n v="77"/>
    <n v="50"/>
    <n v="0"/>
    <n v="736"/>
    <n v="224"/>
    <n v="26"/>
    <n v="14"/>
    <n v="5"/>
    <n v="2"/>
    <n v="65"/>
    <n v="12"/>
    <n v="4"/>
    <n v="98"/>
    <n v="20"/>
    <n v="27"/>
    <n v="2"/>
    <n v="66"/>
    <n v="657"/>
    <n v="927"/>
    <n v="5"/>
    <n v="1279"/>
    <n v="722"/>
    <n v="3"/>
    <n v="2"/>
    <n v="2"/>
    <n v="19505"/>
    <n v="192"/>
    <n v="2714"/>
    <m/>
    <n v="1021"/>
    <n v="269"/>
    <n v="29875"/>
    <m/>
    <n v="0"/>
    <n v="470"/>
    <n v="0"/>
    <n v="61"/>
    <n v="19"/>
    <x v="2"/>
  </r>
  <r>
    <x v="3"/>
    <n v="20"/>
    <n v="6"/>
    <n v="68"/>
    <n v="58"/>
    <n v="3"/>
    <n v="662"/>
    <n v="220"/>
    <n v="22"/>
    <n v="14"/>
    <n v="5"/>
    <n v="0"/>
    <n v="62"/>
    <n v="6"/>
    <n v="7"/>
    <n v="88"/>
    <n v="16"/>
    <n v="37"/>
    <n v="2"/>
    <n v="87"/>
    <n v="872"/>
    <n v="875"/>
    <n v="6"/>
    <n v="1280"/>
    <n v="738"/>
    <n v="3"/>
    <n v="5"/>
    <n v="3"/>
    <n v="18991"/>
    <n v="225"/>
    <n v="2044"/>
    <m/>
    <n v="1069"/>
    <n v="267"/>
    <n v="29877"/>
    <m/>
    <n v="9"/>
    <n v="692"/>
    <n v="2"/>
    <n v="65"/>
    <n v="26"/>
    <x v="2"/>
  </r>
  <r>
    <x v="12"/>
    <n v="17"/>
    <n v="10"/>
    <n v="54"/>
    <n v="54"/>
    <n v="2"/>
    <n v="472"/>
    <n v="159"/>
    <n v="15"/>
    <n v="10"/>
    <n v="4"/>
    <n v="2"/>
    <n v="44"/>
    <n v="10"/>
    <n v="10"/>
    <n v="85"/>
    <n v="13"/>
    <n v="48"/>
    <n v="1"/>
    <n v="146"/>
    <n v="710"/>
    <n v="982"/>
    <n v="11"/>
    <n v="1764"/>
    <n v="1088"/>
    <n v="0"/>
    <n v="6"/>
    <n v="6"/>
    <n v="12419"/>
    <n v="81"/>
    <n v="2208"/>
    <m/>
    <n v="1119"/>
    <n v="257"/>
    <n v="23020"/>
    <m/>
    <n v="4"/>
    <n v="536"/>
    <n v="0"/>
    <n v="32"/>
    <n v="26"/>
    <x v="2"/>
  </r>
  <r>
    <x v="8"/>
    <n v="17"/>
    <n v="9"/>
    <n v="55"/>
    <n v="49"/>
    <n v="1"/>
    <n v="496"/>
    <n v="169"/>
    <n v="12"/>
    <n v="14"/>
    <n v="4"/>
    <n v="4"/>
    <n v="47"/>
    <n v="8"/>
    <n v="0"/>
    <n v="99"/>
    <n v="17"/>
    <n v="37"/>
    <n v="4"/>
    <n v="146"/>
    <n v="660"/>
    <n v="775"/>
    <n v="12"/>
    <n v="1602"/>
    <n v="854"/>
    <n v="2"/>
    <n v="3"/>
    <n v="3"/>
    <n v="15024"/>
    <n v="102"/>
    <n v="2299"/>
    <m/>
    <n v="1022"/>
    <n v="191"/>
    <n v="25205"/>
    <m/>
    <n v="4"/>
    <n v="584"/>
    <n v="0"/>
    <n v="74"/>
    <n v="25"/>
    <x v="2"/>
  </r>
  <r>
    <x v="13"/>
    <n v="15"/>
    <n v="18"/>
    <n v="58"/>
    <n v="49"/>
    <n v="4"/>
    <n v="572"/>
    <n v="201"/>
    <n v="11"/>
    <n v="3"/>
    <n v="6"/>
    <n v="2"/>
    <n v="52"/>
    <n v="6"/>
    <n v="8"/>
    <n v="79"/>
    <n v="10"/>
    <n v="50"/>
    <n v="5"/>
    <n v="124"/>
    <n v="740"/>
    <n v="939"/>
    <n v="18"/>
    <n v="1496"/>
    <n v="828"/>
    <n v="2"/>
    <n v="4"/>
    <n v="3"/>
    <n v="15971"/>
    <n v="187"/>
    <n v="2229"/>
    <m/>
    <n v="690"/>
    <n v="210"/>
    <n v="26120"/>
    <m/>
    <n v="7"/>
    <n v="578"/>
    <n v="1"/>
    <n v="54"/>
    <n v="34"/>
    <x v="2"/>
  </r>
  <r>
    <x v="18"/>
    <n v="14"/>
    <n v="13"/>
    <n v="39"/>
    <n v="40"/>
    <n v="1"/>
    <n v="511"/>
    <n v="149"/>
    <n v="11"/>
    <n v="2"/>
    <n v="5"/>
    <n v="0"/>
    <n v="33"/>
    <n v="6"/>
    <n v="5"/>
    <n v="92"/>
    <n v="15"/>
    <n v="34"/>
    <n v="1"/>
    <n v="153"/>
    <n v="667"/>
    <n v="812"/>
    <n v="10"/>
    <n v="1632"/>
    <n v="1011"/>
    <n v="0"/>
    <n v="2"/>
    <n v="1"/>
    <n v="16100"/>
    <n v="151"/>
    <n v="2297"/>
    <m/>
    <n v="765"/>
    <n v="188"/>
    <n v="26306"/>
    <m/>
    <n v="8"/>
    <n v="467"/>
    <n v="1"/>
    <n v="70"/>
    <n v="44"/>
    <x v="2"/>
  </r>
  <r>
    <x v="4"/>
    <n v="14"/>
    <n v="15"/>
    <n v="45"/>
    <n v="54"/>
    <n v="5"/>
    <n v="544"/>
    <n v="177"/>
    <n v="7"/>
    <n v="5"/>
    <n v="3"/>
    <n v="0"/>
    <n v="39"/>
    <n v="6"/>
    <n v="7"/>
    <n v="85"/>
    <n v="13"/>
    <n v="45"/>
    <n v="3"/>
    <n v="122"/>
    <n v="743"/>
    <n v="781"/>
    <n v="7"/>
    <n v="1511"/>
    <n v="886"/>
    <n v="2"/>
    <n v="4"/>
    <n v="3"/>
    <n v="15723"/>
    <n v="170"/>
    <n v="2099"/>
    <m/>
    <n v="1005"/>
    <n v="221"/>
    <n v="26576"/>
    <m/>
    <n v="6"/>
    <n v="538"/>
    <n v="0"/>
    <n v="69"/>
    <n v="56"/>
    <x v="2"/>
  </r>
  <r>
    <x v="11"/>
    <n v="14"/>
    <n v="15"/>
    <n v="42"/>
    <n v="66"/>
    <n v="4"/>
    <n v="515"/>
    <n v="167"/>
    <n v="12"/>
    <n v="4"/>
    <n v="1"/>
    <n v="1"/>
    <n v="37"/>
    <n v="5"/>
    <n v="4"/>
    <n v="130"/>
    <n v="10"/>
    <n v="45"/>
    <n v="3"/>
    <n v="190"/>
    <n v="606"/>
    <n v="896"/>
    <n v="13"/>
    <n v="1601"/>
    <n v="867"/>
    <n v="2"/>
    <n v="6"/>
    <n v="3"/>
    <n v="15316"/>
    <n v="220"/>
    <n v="1901"/>
    <m/>
    <n v="720"/>
    <n v="189"/>
    <n v="25662"/>
    <m/>
    <n v="7"/>
    <n v="601"/>
    <n v="2"/>
    <n v="65"/>
    <n v="37"/>
    <x v="2"/>
  </r>
  <r>
    <x v="23"/>
    <n v="12"/>
    <n v="17"/>
    <n v="38"/>
    <n v="73"/>
    <n v="5"/>
    <n v="364"/>
    <n v="100"/>
    <n v="11"/>
    <n v="14"/>
    <n v="5"/>
    <n v="0"/>
    <n v="35"/>
    <n v="3"/>
    <n v="1"/>
    <n v="65"/>
    <n v="12"/>
    <n v="55"/>
    <n v="3"/>
    <n v="169"/>
    <n v="574"/>
    <n v="688"/>
    <n v="11"/>
    <n v="1555"/>
    <n v="926"/>
    <n v="2"/>
    <n v="3"/>
    <n v="2"/>
    <n v="9478"/>
    <n v="66"/>
    <n v="2171"/>
    <m/>
    <n v="697"/>
    <n v="174"/>
    <n v="18693"/>
    <m/>
    <n v="7"/>
    <n v="438"/>
    <n v="0"/>
    <n v="85"/>
    <n v="41"/>
    <x v="2"/>
  </r>
  <r>
    <x v="16"/>
    <n v="12"/>
    <n v="17"/>
    <n v="34"/>
    <n v="59"/>
    <n v="4"/>
    <n v="590"/>
    <n v="163"/>
    <n v="10"/>
    <n v="3"/>
    <n v="5"/>
    <n v="2"/>
    <n v="29"/>
    <n v="5"/>
    <n v="2"/>
    <n v="101"/>
    <n v="13"/>
    <n v="45"/>
    <n v="2"/>
    <n v="110"/>
    <n v="685"/>
    <n v="934"/>
    <n v="12"/>
    <n v="1636"/>
    <n v="927"/>
    <n v="1"/>
    <n v="3"/>
    <n v="2"/>
    <n v="12319"/>
    <n v="139"/>
    <n v="2226"/>
    <m/>
    <n v="943"/>
    <n v="210"/>
    <n v="23071"/>
    <m/>
    <n v="10"/>
    <n v="445"/>
    <n v="1"/>
    <n v="38"/>
    <n v="20"/>
    <x v="2"/>
  </r>
  <r>
    <x v="5"/>
    <n v="11"/>
    <n v="19"/>
    <n v="41"/>
    <n v="62"/>
    <n v="1"/>
    <n v="488"/>
    <n v="154"/>
    <n v="7"/>
    <n v="10"/>
    <n v="0"/>
    <n v="3"/>
    <n v="35"/>
    <n v="6"/>
    <n v="2"/>
    <n v="71"/>
    <n v="7"/>
    <n v="53"/>
    <n v="2"/>
    <n v="183"/>
    <n v="555"/>
    <n v="890"/>
    <n v="14"/>
    <n v="1880"/>
    <n v="1023"/>
    <n v="2"/>
    <n v="7"/>
    <n v="6"/>
    <n v="10649"/>
    <n v="81"/>
    <n v="2078"/>
    <m/>
    <n v="853"/>
    <n v="201"/>
    <n v="20876"/>
    <m/>
    <n v="5"/>
    <n v="448"/>
    <n v="1"/>
    <n v="42"/>
    <n v="28"/>
    <x v="2"/>
  </r>
  <r>
    <x v="7"/>
    <n v="10"/>
    <n v="17"/>
    <n v="40"/>
    <n v="74"/>
    <n v="4"/>
    <n v="473"/>
    <n v="148"/>
    <n v="13"/>
    <n v="9"/>
    <n v="4"/>
    <n v="1"/>
    <n v="35"/>
    <n v="5"/>
    <n v="0"/>
    <n v="119"/>
    <n v="10"/>
    <n v="60"/>
    <n v="4"/>
    <n v="119"/>
    <n v="557"/>
    <n v="824"/>
    <n v="14"/>
    <n v="1649"/>
    <n v="900"/>
    <n v="2"/>
    <n v="6"/>
    <n v="5"/>
    <n v="13436"/>
    <n v="111"/>
    <n v="2307"/>
    <m/>
    <n v="865"/>
    <n v="199"/>
    <n v="23450"/>
    <m/>
    <n v="9"/>
    <n v="372"/>
    <n v="0"/>
    <n v="48"/>
    <n v="36"/>
    <x v="2"/>
  </r>
  <r>
    <x v="9"/>
    <n v="10"/>
    <n v="17"/>
    <n v="38"/>
    <n v="58"/>
    <n v="5"/>
    <n v="500"/>
    <n v="152"/>
    <n v="19"/>
    <n v="10"/>
    <n v="2"/>
    <n v="1"/>
    <n v="32"/>
    <n v="6"/>
    <n v="2"/>
    <n v="81"/>
    <n v="8"/>
    <n v="57"/>
    <n v="5"/>
    <n v="113"/>
    <n v="653"/>
    <n v="922"/>
    <n v="17"/>
    <n v="1552"/>
    <n v="892"/>
    <n v="0"/>
    <n v="7"/>
    <n v="6"/>
    <n v="14497"/>
    <n v="142"/>
    <n v="2379"/>
    <m/>
    <n v="852"/>
    <n v="194"/>
    <n v="25414"/>
    <m/>
    <n v="9"/>
    <n v="601"/>
    <n v="1"/>
    <n v="79"/>
    <n v="26"/>
    <x v="2"/>
  </r>
  <r>
    <x v="20"/>
    <n v="9"/>
    <n v="20"/>
    <n v="34"/>
    <n v="69"/>
    <n v="1"/>
    <n v="473"/>
    <n v="144"/>
    <n v="10"/>
    <n v="8"/>
    <n v="1"/>
    <n v="1"/>
    <n v="27"/>
    <n v="7"/>
    <n v="4"/>
    <n v="96"/>
    <n v="9"/>
    <n v="54"/>
    <n v="1"/>
    <n v="173"/>
    <n v="609"/>
    <n v="888"/>
    <n v="6"/>
    <n v="1596"/>
    <n v="978"/>
    <n v="2"/>
    <n v="5"/>
    <n v="3"/>
    <n v="14144"/>
    <n v="122"/>
    <n v="2126"/>
    <m/>
    <n v="985"/>
    <n v="172"/>
    <n v="24442"/>
    <m/>
    <n v="4"/>
    <n v="491"/>
    <n v="1"/>
    <n v="58"/>
    <n v="27"/>
    <x v="2"/>
  </r>
  <r>
    <x v="24"/>
    <n v="8"/>
    <n v="19"/>
    <n v="39"/>
    <n v="71"/>
    <n v="3"/>
    <n v="476"/>
    <n v="149"/>
    <n v="9"/>
    <n v="13"/>
    <n v="3"/>
    <n v="3"/>
    <n v="33"/>
    <n v="6"/>
    <n v="5"/>
    <n v="141"/>
    <n v="6"/>
    <n v="64"/>
    <n v="2"/>
    <n v="160"/>
    <n v="624"/>
    <n v="811"/>
    <n v="15"/>
    <n v="1677"/>
    <n v="967"/>
    <n v="4"/>
    <n v="3"/>
    <n v="2"/>
    <n v="11809"/>
    <n v="83"/>
    <n v="2363"/>
    <m/>
    <n v="930"/>
    <n v="186"/>
    <n v="21712"/>
    <m/>
    <n v="4"/>
    <n v="490"/>
    <n v="1"/>
    <n v="56"/>
    <n v="22"/>
    <x v="2"/>
  </r>
  <r>
    <x v="25"/>
    <n v="8"/>
    <n v="22"/>
    <n v="36"/>
    <n v="67"/>
    <n v="1"/>
    <n v="559"/>
    <n v="165"/>
    <n v="16"/>
    <n v="4"/>
    <n v="3"/>
    <n v="3"/>
    <n v="31"/>
    <n v="5"/>
    <n v="5"/>
    <n v="101"/>
    <n v="8"/>
    <n v="67"/>
    <n v="2"/>
    <n v="136"/>
    <n v="591"/>
    <n v="803"/>
    <n v="14"/>
    <n v="1477"/>
    <n v="776"/>
    <n v="0"/>
    <n v="4"/>
    <n v="4"/>
    <n v="14518"/>
    <n v="178"/>
    <n v="2311"/>
    <m/>
    <n v="962"/>
    <n v="226"/>
    <n v="24904"/>
    <m/>
    <n v="5"/>
    <n v="581"/>
    <n v="0"/>
    <n v="60"/>
    <n v="24"/>
    <x v="2"/>
  </r>
  <r>
    <x v="10"/>
    <n v="7"/>
    <n v="20"/>
    <n v="28"/>
    <n v="55"/>
    <n v="3"/>
    <n v="498"/>
    <n v="140"/>
    <n v="7"/>
    <n v="1"/>
    <n v="1"/>
    <n v="2"/>
    <n v="25"/>
    <n v="3"/>
    <n v="0"/>
    <n v="121"/>
    <n v="7"/>
    <n v="57"/>
    <n v="6"/>
    <n v="144"/>
    <n v="607"/>
    <n v="784"/>
    <n v="23"/>
    <n v="1582"/>
    <n v="846"/>
    <n v="6"/>
    <n v="2"/>
    <n v="2"/>
    <n v="13124"/>
    <n v="124"/>
    <n v="2130"/>
    <m/>
    <n v="983"/>
    <n v="172"/>
    <n v="23322"/>
    <m/>
    <n v="5"/>
    <n v="540"/>
    <n v="0"/>
    <n v="85"/>
    <n v="18"/>
    <x v="2"/>
  </r>
  <r>
    <x v="14"/>
    <n v="7"/>
    <n v="18"/>
    <n v="40"/>
    <n v="57"/>
    <n v="8"/>
    <n v="444"/>
    <n v="125"/>
    <n v="12"/>
    <n v="10"/>
    <n v="4"/>
    <n v="0"/>
    <n v="38"/>
    <n v="2"/>
    <n v="2"/>
    <n v="73"/>
    <n v="7"/>
    <n v="59"/>
    <n v="3"/>
    <n v="142"/>
    <n v="591"/>
    <n v="735"/>
    <n v="22"/>
    <n v="1278"/>
    <n v="693"/>
    <n v="2"/>
    <n v="9"/>
    <n v="8"/>
    <n v="14172"/>
    <n v="148"/>
    <n v="2300"/>
    <m/>
    <n v="895"/>
    <n v="165"/>
    <n v="24327"/>
    <m/>
    <n v="5"/>
    <n v="659"/>
    <n v="1"/>
    <n v="40"/>
    <n v="24"/>
    <x v="2"/>
  </r>
  <r>
    <x v="1"/>
    <n v="27"/>
    <n v="6"/>
    <n v="103"/>
    <n v="54"/>
    <n v="5"/>
    <n v="834"/>
    <n v="288"/>
    <n v="13"/>
    <n v="16"/>
    <n v="11"/>
    <n v="3"/>
    <n v="94"/>
    <n v="9"/>
    <n v="8"/>
    <n v="96"/>
    <n v="18"/>
    <n v="32"/>
    <n v="0"/>
    <n v="103"/>
    <n v="705"/>
    <n v="772"/>
    <n v="10"/>
    <n v="1055"/>
    <n v="560"/>
    <n v="1"/>
    <n v="5"/>
    <n v="4"/>
    <n v="18852"/>
    <n v="268"/>
    <n v="2071"/>
    <m/>
    <n v="1083"/>
    <n v="286"/>
    <n v="28914"/>
    <m/>
    <n v="3"/>
    <n v="503"/>
    <n v="1"/>
    <n v="87"/>
    <n v="30"/>
    <x v="3"/>
  </r>
  <r>
    <x v="0"/>
    <n v="27"/>
    <n v="7"/>
    <n v="86"/>
    <n v="49"/>
    <n v="4"/>
    <n v="695"/>
    <n v="221"/>
    <n v="12"/>
    <n v="14"/>
    <n v="6"/>
    <n v="3"/>
    <n v="77"/>
    <n v="9"/>
    <n v="6"/>
    <n v="85"/>
    <n v="19"/>
    <n v="28"/>
    <n v="0"/>
    <n v="100"/>
    <n v="602"/>
    <n v="828"/>
    <n v="13"/>
    <n v="983"/>
    <n v="584"/>
    <n v="0"/>
    <n v="2"/>
    <n v="2"/>
    <n v="19318"/>
    <n v="243"/>
    <n v="2205"/>
    <m/>
    <n v="1156"/>
    <n v="297"/>
    <n v="28968"/>
    <m/>
    <n v="2"/>
    <n v="622"/>
    <n v="0"/>
    <n v="65"/>
    <n v="18"/>
    <x v="3"/>
  </r>
  <r>
    <x v="3"/>
    <n v="23"/>
    <n v="9"/>
    <n v="83"/>
    <n v="56"/>
    <n v="1"/>
    <n v="660"/>
    <n v="233"/>
    <n v="15"/>
    <n v="11"/>
    <n v="3"/>
    <n v="2"/>
    <n v="65"/>
    <n v="18"/>
    <n v="9"/>
    <n v="93"/>
    <n v="14"/>
    <n v="41"/>
    <n v="3"/>
    <n v="89"/>
    <n v="839"/>
    <n v="818"/>
    <n v="26"/>
    <n v="1091"/>
    <n v="640"/>
    <n v="2"/>
    <n v="7"/>
    <n v="5"/>
    <n v="19291"/>
    <n v="334"/>
    <n v="1837"/>
    <m/>
    <n v="1023"/>
    <n v="257"/>
    <n v="29807"/>
    <m/>
    <n v="3"/>
    <n v="713"/>
    <n v="2"/>
    <n v="75"/>
    <n v="24"/>
    <x v="3"/>
  </r>
  <r>
    <x v="4"/>
    <n v="21"/>
    <n v="10"/>
    <n v="67"/>
    <n v="58"/>
    <n v="1"/>
    <n v="681"/>
    <n v="226"/>
    <n v="13"/>
    <n v="12"/>
    <n v="2"/>
    <n v="2"/>
    <n v="59"/>
    <n v="8"/>
    <n v="6"/>
    <n v="117"/>
    <n v="13"/>
    <n v="41"/>
    <n v="4"/>
    <n v="129"/>
    <n v="804"/>
    <n v="844"/>
    <n v="10"/>
    <n v="1360"/>
    <n v="729"/>
    <n v="0"/>
    <n v="9"/>
    <n v="6"/>
    <n v="15474"/>
    <n v="122"/>
    <n v="2535"/>
    <m/>
    <n v="912"/>
    <n v="241"/>
    <n v="25855"/>
    <m/>
    <n v="6"/>
    <n v="516"/>
    <n v="3"/>
    <n v="93"/>
    <n v="48"/>
    <x v="3"/>
  </r>
  <r>
    <x v="2"/>
    <n v="18"/>
    <n v="11"/>
    <n v="61"/>
    <n v="55"/>
    <n v="5"/>
    <n v="642"/>
    <n v="189"/>
    <n v="20"/>
    <n v="6"/>
    <n v="3"/>
    <n v="0"/>
    <n v="53"/>
    <n v="8"/>
    <n v="4"/>
    <n v="62"/>
    <n v="17"/>
    <n v="35"/>
    <n v="0"/>
    <n v="81"/>
    <n v="763"/>
    <n v="958"/>
    <n v="6"/>
    <n v="1094"/>
    <n v="603"/>
    <n v="2"/>
    <n v="4"/>
    <n v="3"/>
    <n v="18575"/>
    <n v="142"/>
    <n v="2454"/>
    <m/>
    <n v="1017"/>
    <n v="268"/>
    <n v="28704"/>
    <m/>
    <n v="1"/>
    <n v="489"/>
    <n v="1"/>
    <n v="52"/>
    <n v="28"/>
    <x v="3"/>
  </r>
  <r>
    <x v="13"/>
    <n v="18"/>
    <n v="7"/>
    <n v="73"/>
    <n v="49"/>
    <n v="2"/>
    <n v="526"/>
    <n v="195"/>
    <n v="9"/>
    <n v="9"/>
    <n v="5"/>
    <n v="3"/>
    <n v="63"/>
    <n v="10"/>
    <n v="10"/>
    <n v="120"/>
    <n v="11"/>
    <n v="45"/>
    <n v="0"/>
    <n v="120"/>
    <n v="805"/>
    <n v="802"/>
    <n v="18"/>
    <n v="1269"/>
    <n v="689"/>
    <n v="1"/>
    <n v="7"/>
    <n v="5"/>
    <n v="16323"/>
    <n v="203"/>
    <n v="2335"/>
    <m/>
    <n v="809"/>
    <n v="237"/>
    <n v="26446"/>
    <m/>
    <n v="4"/>
    <n v="509"/>
    <n v="2"/>
    <n v="45"/>
    <n v="21"/>
    <x v="3"/>
  </r>
  <r>
    <x v="12"/>
    <n v="17"/>
    <n v="8"/>
    <n v="52"/>
    <n v="59"/>
    <n v="2"/>
    <n v="497"/>
    <n v="158"/>
    <n v="5"/>
    <n v="12"/>
    <n v="5"/>
    <n v="0"/>
    <n v="44"/>
    <n v="8"/>
    <n v="4"/>
    <n v="81"/>
    <n v="15"/>
    <n v="39"/>
    <n v="0"/>
    <n v="225"/>
    <n v="690"/>
    <n v="880"/>
    <n v="6"/>
    <n v="1531"/>
    <n v="877"/>
    <n v="3"/>
    <n v="6"/>
    <n v="6"/>
    <n v="13127"/>
    <n v="70"/>
    <n v="2055"/>
    <m/>
    <n v="1031"/>
    <n v="236"/>
    <n v="23210"/>
    <m/>
    <n v="10"/>
    <n v="520"/>
    <n v="0"/>
    <n v="39"/>
    <n v="39"/>
    <x v="3"/>
  </r>
  <r>
    <x v="8"/>
    <n v="16"/>
    <n v="9"/>
    <n v="60"/>
    <n v="57"/>
    <n v="2"/>
    <n v="589"/>
    <n v="194"/>
    <n v="12"/>
    <n v="16"/>
    <n v="5"/>
    <n v="2"/>
    <n v="52"/>
    <n v="8"/>
    <n v="2"/>
    <n v="94"/>
    <n v="11"/>
    <n v="49"/>
    <n v="0"/>
    <n v="137"/>
    <n v="827"/>
    <n v="768"/>
    <n v="19"/>
    <n v="1601"/>
    <n v="880"/>
    <n v="3"/>
    <n v="2"/>
    <n v="0"/>
    <n v="14832"/>
    <n v="115"/>
    <n v="2335"/>
    <m/>
    <n v="1022"/>
    <n v="230"/>
    <n v="24914"/>
    <m/>
    <n v="4"/>
    <n v="600"/>
    <n v="2"/>
    <n v="52"/>
    <n v="17"/>
    <x v="3"/>
  </r>
  <r>
    <x v="21"/>
    <n v="13"/>
    <n v="14"/>
    <n v="38"/>
    <n v="74"/>
    <n v="1"/>
    <n v="452"/>
    <n v="155"/>
    <n v="7"/>
    <n v="3"/>
    <n v="2"/>
    <n v="4"/>
    <n v="30"/>
    <n v="8"/>
    <n v="4"/>
    <n v="98"/>
    <n v="11"/>
    <n v="47"/>
    <n v="0"/>
    <n v="193"/>
    <n v="777"/>
    <n v="785"/>
    <n v="4"/>
    <n v="1499"/>
    <n v="815"/>
    <n v="1"/>
    <n v="3"/>
    <n v="3"/>
    <n v="13540"/>
    <n v="124"/>
    <n v="2433"/>
    <m/>
    <n v="736"/>
    <n v="186"/>
    <n v="23678"/>
    <m/>
    <n v="5"/>
    <n v="445"/>
    <n v="0"/>
    <n v="78"/>
    <n v="35"/>
    <x v="3"/>
  </r>
  <r>
    <x v="7"/>
    <n v="13"/>
    <n v="14"/>
    <n v="41"/>
    <n v="57"/>
    <n v="2"/>
    <n v="489"/>
    <n v="161"/>
    <n v="18"/>
    <n v="11"/>
    <n v="3"/>
    <n v="0"/>
    <n v="35"/>
    <n v="6"/>
    <n v="2"/>
    <n v="124"/>
    <n v="13"/>
    <n v="55"/>
    <n v="0"/>
    <n v="132"/>
    <n v="730"/>
    <n v="709"/>
    <n v="12"/>
    <n v="1557"/>
    <n v="832"/>
    <n v="1"/>
    <n v="2"/>
    <n v="2"/>
    <n v="11792"/>
    <n v="91"/>
    <n v="2203"/>
    <m/>
    <n v="752"/>
    <n v="181"/>
    <n v="21245"/>
    <m/>
    <n v="6"/>
    <n v="445"/>
    <n v="0"/>
    <n v="61"/>
    <n v="32"/>
    <x v="3"/>
  </r>
  <r>
    <x v="18"/>
    <n v="12"/>
    <n v="16"/>
    <n v="39"/>
    <n v="46"/>
    <n v="1"/>
    <n v="463"/>
    <n v="144"/>
    <n v="7"/>
    <n v="4"/>
    <n v="4"/>
    <n v="2"/>
    <n v="30"/>
    <n v="9"/>
    <n v="0"/>
    <n v="92"/>
    <n v="12"/>
    <n v="46"/>
    <n v="5"/>
    <n v="147"/>
    <n v="752"/>
    <n v="745"/>
    <n v="10"/>
    <n v="1459"/>
    <n v="785"/>
    <n v="5"/>
    <n v="2"/>
    <n v="2"/>
    <n v="16505"/>
    <n v="112"/>
    <n v="2104"/>
    <m/>
    <n v="727"/>
    <n v="177"/>
    <n v="26134"/>
    <m/>
    <n v="5"/>
    <n v="467"/>
    <n v="0"/>
    <n v="99"/>
    <n v="29"/>
    <x v="3"/>
  </r>
  <r>
    <x v="23"/>
    <n v="11"/>
    <n v="13"/>
    <n v="34"/>
    <n v="63"/>
    <n v="5"/>
    <n v="402"/>
    <n v="113"/>
    <n v="5"/>
    <n v="9"/>
    <n v="2"/>
    <n v="0"/>
    <n v="32"/>
    <n v="2"/>
    <n v="1"/>
    <n v="86"/>
    <n v="14"/>
    <n v="48"/>
    <n v="4"/>
    <n v="184"/>
    <n v="738"/>
    <n v="724"/>
    <n v="8"/>
    <n v="1632"/>
    <n v="1010"/>
    <n v="1"/>
    <n v="6"/>
    <n v="3"/>
    <n v="10307"/>
    <n v="61"/>
    <n v="2176"/>
    <m/>
    <n v="661"/>
    <n v="181"/>
    <n v="19825"/>
    <m/>
    <n v="3"/>
    <n v="383"/>
    <n v="3"/>
    <n v="117"/>
    <n v="17"/>
    <x v="3"/>
  </r>
  <r>
    <x v="20"/>
    <n v="11"/>
    <n v="16"/>
    <n v="48"/>
    <n v="77"/>
    <n v="9"/>
    <n v="444"/>
    <n v="159"/>
    <n v="11"/>
    <n v="10"/>
    <n v="6"/>
    <n v="1"/>
    <n v="44"/>
    <n v="4"/>
    <n v="6"/>
    <n v="93"/>
    <n v="7"/>
    <n v="56"/>
    <n v="0"/>
    <n v="162"/>
    <n v="829"/>
    <n v="890"/>
    <n v="10"/>
    <n v="1641"/>
    <n v="904"/>
    <n v="2"/>
    <n v="6"/>
    <n v="5"/>
    <n v="12489"/>
    <n v="136"/>
    <n v="2265"/>
    <m/>
    <n v="884"/>
    <n v="180"/>
    <n v="22903"/>
    <m/>
    <n v="7"/>
    <n v="534"/>
    <n v="0"/>
    <n v="54"/>
    <n v="30"/>
    <x v="3"/>
  </r>
  <r>
    <x v="5"/>
    <n v="10"/>
    <n v="19"/>
    <n v="42"/>
    <n v="74"/>
    <n v="5"/>
    <n v="558"/>
    <n v="163"/>
    <n v="10"/>
    <n v="10"/>
    <n v="4"/>
    <n v="2"/>
    <n v="38"/>
    <n v="4"/>
    <n v="0"/>
    <n v="58"/>
    <n v="5"/>
    <n v="67"/>
    <n v="0"/>
    <n v="147"/>
    <n v="735"/>
    <n v="912"/>
    <n v="15"/>
    <n v="1638"/>
    <n v="936"/>
    <n v="4"/>
    <n v="5"/>
    <n v="3"/>
    <n v="11404"/>
    <n v="114"/>
    <n v="2277"/>
    <m/>
    <n v="875"/>
    <n v="183"/>
    <n v="21587"/>
    <m/>
    <n v="9"/>
    <n v="445"/>
    <n v="2"/>
    <n v="50"/>
    <n v="19"/>
    <x v="3"/>
  </r>
  <r>
    <x v="16"/>
    <n v="9"/>
    <n v="20"/>
    <n v="37"/>
    <n v="65"/>
    <n v="3"/>
    <n v="555"/>
    <n v="174"/>
    <n v="13"/>
    <n v="10"/>
    <n v="1"/>
    <n v="2"/>
    <n v="32"/>
    <n v="5"/>
    <n v="1"/>
    <n v="50"/>
    <n v="8"/>
    <n v="79"/>
    <n v="0"/>
    <n v="131"/>
    <n v="743"/>
    <n v="908"/>
    <n v="13"/>
    <n v="1353"/>
    <n v="666"/>
    <n v="1"/>
    <n v="7"/>
    <n v="7"/>
    <n v="14753"/>
    <n v="126"/>
    <n v="2607"/>
    <m/>
    <n v="681"/>
    <n v="181"/>
    <n v="25000"/>
    <m/>
    <n v="11"/>
    <n v="613"/>
    <n v="0"/>
    <n v="46"/>
    <n v="20"/>
    <x v="3"/>
  </r>
  <r>
    <x v="26"/>
    <n v="9"/>
    <n v="18"/>
    <n v="32"/>
    <n v="63"/>
    <n v="4"/>
    <n v="436"/>
    <n v="119"/>
    <n v="8"/>
    <n v="6"/>
    <n v="2"/>
    <n v="0"/>
    <n v="29"/>
    <n v="3"/>
    <n v="0"/>
    <n v="65"/>
    <n v="8"/>
    <n v="56"/>
    <n v="0"/>
    <n v="127"/>
    <n v="537"/>
    <n v="705"/>
    <n v="15"/>
    <n v="1618"/>
    <n v="784"/>
    <n v="3"/>
    <n v="6"/>
    <n v="5"/>
    <n v="13020"/>
    <n v="60"/>
    <n v="2307"/>
    <m/>
    <n v="940"/>
    <n v="204"/>
    <n v="22641"/>
    <m/>
    <n v="6"/>
    <n v="410"/>
    <n v="1"/>
    <n v="118"/>
    <n v="29"/>
    <x v="3"/>
  </r>
  <r>
    <x v="27"/>
    <n v="8"/>
    <n v="24"/>
    <n v="42"/>
    <n v="57"/>
    <n v="2"/>
    <n v="459"/>
    <n v="153"/>
    <n v="14"/>
    <n v="6"/>
    <n v="6"/>
    <n v="2"/>
    <n v="38"/>
    <n v="4"/>
    <n v="2"/>
    <n v="66"/>
    <n v="3"/>
    <n v="82"/>
    <n v="0"/>
    <n v="147"/>
    <n v="661"/>
    <n v="686"/>
    <n v="13"/>
    <n v="1552"/>
    <n v="775"/>
    <n v="2"/>
    <n v="9"/>
    <n v="5"/>
    <n v="13591"/>
    <n v="83"/>
    <n v="2348"/>
    <m/>
    <n v="825"/>
    <n v="174"/>
    <n v="23571"/>
    <m/>
    <n v="7"/>
    <n v="524"/>
    <n v="3"/>
    <n v="55"/>
    <n v="27"/>
    <x v="3"/>
  </r>
  <r>
    <x v="11"/>
    <n v="8"/>
    <n v="19"/>
    <n v="47"/>
    <n v="62"/>
    <n v="3"/>
    <n v="549"/>
    <n v="191"/>
    <n v="12"/>
    <n v="13"/>
    <n v="7"/>
    <n v="1"/>
    <n v="41"/>
    <n v="6"/>
    <n v="0"/>
    <n v="92"/>
    <n v="8"/>
    <n v="66"/>
    <n v="4"/>
    <n v="160"/>
    <n v="755"/>
    <n v="830"/>
    <n v="10"/>
    <n v="1623"/>
    <n v="870"/>
    <n v="3"/>
    <n v="6"/>
    <n v="5"/>
    <n v="14616"/>
    <n v="164"/>
    <n v="2197"/>
    <m/>
    <n v="689"/>
    <n v="180"/>
    <n v="24973"/>
    <m/>
    <n v="8"/>
    <n v="522"/>
    <n v="1"/>
    <n v="72"/>
    <n v="35"/>
    <x v="3"/>
  </r>
  <r>
    <x v="9"/>
    <n v="7"/>
    <n v="24"/>
    <n v="34"/>
    <n v="68"/>
    <n v="5"/>
    <n v="533"/>
    <n v="151"/>
    <n v="7"/>
    <n v="7"/>
    <n v="3"/>
    <n v="1"/>
    <n v="31"/>
    <n v="3"/>
    <n v="2"/>
    <n v="93"/>
    <n v="7"/>
    <n v="66"/>
    <n v="0"/>
    <n v="135"/>
    <n v="681"/>
    <n v="774"/>
    <n v="14"/>
    <n v="1356"/>
    <n v="751"/>
    <n v="3"/>
    <n v="9"/>
    <n v="8"/>
    <n v="13509"/>
    <n v="95"/>
    <n v="1977"/>
    <m/>
    <n v="818"/>
    <n v="189"/>
    <n v="23416"/>
    <m/>
    <n v="4"/>
    <n v="497"/>
    <n v="1"/>
    <n v="83"/>
    <n v="27"/>
    <x v="3"/>
  </r>
  <r>
    <x v="24"/>
    <n v="6"/>
    <n v="20"/>
    <n v="34"/>
    <n v="64"/>
    <n v="6"/>
    <n v="388"/>
    <n v="120"/>
    <n v="6"/>
    <n v="8"/>
    <n v="6"/>
    <n v="2"/>
    <n v="27"/>
    <n v="7"/>
    <n v="1"/>
    <n v="86"/>
    <n v="7"/>
    <n v="75"/>
    <n v="0"/>
    <n v="157"/>
    <n v="674"/>
    <n v="760"/>
    <n v="12"/>
    <n v="1528"/>
    <n v="805"/>
    <n v="5"/>
    <n v="8"/>
    <n v="7"/>
    <n v="11731"/>
    <n v="46"/>
    <n v="2128"/>
    <m/>
    <n v="753"/>
    <n v="150"/>
    <n v="21522"/>
    <m/>
    <n v="4"/>
    <n v="535"/>
    <n v="1"/>
    <n v="59"/>
    <n v="46"/>
    <x v="3"/>
  </r>
  <r>
    <x v="0"/>
    <n v="23"/>
    <n v="4"/>
    <n v="78"/>
    <n v="56"/>
    <n v="3"/>
    <n v="618"/>
    <n v="212"/>
    <n v="15"/>
    <n v="18"/>
    <n v="3"/>
    <n v="1"/>
    <n v="71"/>
    <n v="7"/>
    <n v="5"/>
    <n v="102"/>
    <n v="15"/>
    <n v="37"/>
    <n v="0"/>
    <n v="107"/>
    <n v="646"/>
    <n v="693"/>
    <n v="17"/>
    <n v="1053"/>
    <n v="634"/>
    <n v="1"/>
    <n v="6"/>
    <n v="5"/>
    <n v="18870"/>
    <n v="212"/>
    <n v="2279"/>
    <n v="2411"/>
    <n v="1005"/>
    <n v="243"/>
    <n v="26671"/>
    <n v="50"/>
    <n v="2"/>
    <n v="471"/>
    <n v="0"/>
    <n v="45"/>
    <n v="16"/>
    <x v="4"/>
  </r>
  <r>
    <x v="1"/>
    <n v="21"/>
    <n v="9"/>
    <n v="69"/>
    <n v="59"/>
    <n v="1"/>
    <n v="745"/>
    <n v="244"/>
    <n v="21"/>
    <n v="12"/>
    <n v="6"/>
    <n v="2"/>
    <n v="61"/>
    <n v="8"/>
    <n v="4"/>
    <n v="113"/>
    <n v="15"/>
    <n v="33"/>
    <n v="0"/>
    <n v="127"/>
    <n v="616"/>
    <n v="769"/>
    <n v="19"/>
    <n v="762"/>
    <n v="470"/>
    <n v="1"/>
    <n v="3"/>
    <n v="2"/>
    <n v="19236"/>
    <n v="252"/>
    <n v="2044"/>
    <n v="2465"/>
    <n v="995"/>
    <n v="257"/>
    <n v="27426"/>
    <n v="70"/>
    <n v="7"/>
    <n v="573"/>
    <n v="1"/>
    <n v="84"/>
    <n v="22"/>
    <x v="4"/>
  </r>
  <r>
    <x v="13"/>
    <n v="21"/>
    <n v="9"/>
    <n v="60"/>
    <n v="71"/>
    <n v="5"/>
    <n v="546"/>
    <n v="177"/>
    <n v="16"/>
    <n v="4"/>
    <n v="8"/>
    <n v="2"/>
    <n v="51"/>
    <n v="9"/>
    <n v="2"/>
    <n v="103"/>
    <n v="18"/>
    <n v="33"/>
    <n v="2"/>
    <n v="130"/>
    <n v="629"/>
    <n v="826"/>
    <n v="4"/>
    <n v="1206"/>
    <n v="680"/>
    <n v="0"/>
    <n v="4"/>
    <n v="3"/>
    <n v="17768"/>
    <n v="170"/>
    <n v="1721"/>
    <n v="2469"/>
    <n v="762"/>
    <n v="222"/>
    <n v="25892"/>
    <n v="51"/>
    <n v="2"/>
    <n v="520"/>
    <n v="1"/>
    <n v="66"/>
    <n v="27"/>
    <x v="4"/>
  </r>
  <r>
    <x v="3"/>
    <n v="19"/>
    <n v="8"/>
    <n v="72"/>
    <n v="65"/>
    <n v="6"/>
    <n v="654"/>
    <n v="238"/>
    <n v="23"/>
    <n v="9"/>
    <n v="4"/>
    <n v="1"/>
    <n v="67"/>
    <n v="5"/>
    <n v="3"/>
    <n v="93"/>
    <n v="13"/>
    <n v="43"/>
    <n v="0"/>
    <n v="94"/>
    <n v="709"/>
    <n v="772"/>
    <n v="3"/>
    <n v="1077"/>
    <n v="580"/>
    <n v="1"/>
    <n v="9"/>
    <n v="6"/>
    <n v="20150"/>
    <n v="373"/>
    <n v="1462"/>
    <n v="2278"/>
    <n v="928"/>
    <n v="252"/>
    <n v="28629"/>
    <n v="88"/>
    <n v="4"/>
    <n v="601"/>
    <n v="2"/>
    <n v="56"/>
    <n v="25"/>
    <x v="4"/>
  </r>
  <r>
    <x v="2"/>
    <n v="17"/>
    <n v="14"/>
    <n v="59"/>
    <n v="63"/>
    <n v="2"/>
    <n v="582"/>
    <n v="205"/>
    <n v="12"/>
    <n v="8"/>
    <n v="6"/>
    <n v="1"/>
    <n v="54"/>
    <n v="5"/>
    <n v="3"/>
    <n v="87"/>
    <n v="14"/>
    <n v="44"/>
    <n v="0"/>
    <n v="128"/>
    <n v="592"/>
    <n v="908"/>
    <n v="2"/>
    <n v="1073"/>
    <n v="563"/>
    <n v="3"/>
    <n v="8"/>
    <n v="7"/>
    <n v="16728"/>
    <n v="148"/>
    <n v="2038"/>
    <n v="2500"/>
    <n v="824"/>
    <n v="212"/>
    <n v="24941"/>
    <n v="43"/>
    <n v="6"/>
    <n v="493"/>
    <n v="0"/>
    <n v="74"/>
    <n v="26"/>
    <x v="4"/>
  </r>
  <r>
    <x v="4"/>
    <n v="16"/>
    <n v="8"/>
    <n v="55"/>
    <n v="51"/>
    <n v="2"/>
    <n v="657"/>
    <n v="191"/>
    <n v="15"/>
    <n v="10"/>
    <n v="5"/>
    <n v="0"/>
    <n v="40"/>
    <n v="15"/>
    <n v="3"/>
    <n v="59"/>
    <n v="8"/>
    <n v="46"/>
    <n v="0"/>
    <n v="139"/>
    <n v="661"/>
    <n v="754"/>
    <n v="16"/>
    <n v="1363"/>
    <n v="800"/>
    <n v="1"/>
    <n v="6"/>
    <n v="4"/>
    <n v="16791"/>
    <n v="111"/>
    <n v="2407"/>
    <n v="2142"/>
    <n v="954"/>
    <n v="256"/>
    <n v="25438"/>
    <n v="51"/>
    <n v="6"/>
    <n v="560"/>
    <n v="2"/>
    <n v="68"/>
    <n v="50"/>
    <x v="4"/>
  </r>
  <r>
    <x v="8"/>
    <n v="13"/>
    <n v="10"/>
    <n v="51"/>
    <n v="55"/>
    <n v="5"/>
    <n v="580"/>
    <n v="181"/>
    <n v="8"/>
    <n v="14"/>
    <n v="3"/>
    <n v="2"/>
    <n v="43"/>
    <n v="8"/>
    <n v="4"/>
    <n v="78"/>
    <n v="9"/>
    <n v="45"/>
    <n v="0"/>
    <n v="149"/>
    <n v="470"/>
    <n v="768"/>
    <n v="12"/>
    <n v="1265"/>
    <n v="652"/>
    <n v="2"/>
    <n v="2"/>
    <n v="2"/>
    <n v="14371"/>
    <n v="72"/>
    <n v="2232"/>
    <n v="2089"/>
    <n v="1019"/>
    <n v="245"/>
    <n v="22628"/>
    <n v="47"/>
    <n v="2"/>
    <n v="525"/>
    <n v="0"/>
    <n v="51"/>
    <n v="30"/>
    <x v="4"/>
  </r>
  <r>
    <x v="23"/>
    <n v="13"/>
    <n v="18"/>
    <n v="46"/>
    <n v="68"/>
    <n v="2"/>
    <n v="482"/>
    <n v="143"/>
    <n v="20"/>
    <n v="11"/>
    <n v="3"/>
    <n v="2"/>
    <n v="42"/>
    <n v="4"/>
    <n v="4"/>
    <n v="74"/>
    <n v="9"/>
    <n v="48"/>
    <n v="0"/>
    <n v="156"/>
    <n v="532"/>
    <n v="716"/>
    <n v="13"/>
    <n v="1316"/>
    <n v="791"/>
    <n v="2"/>
    <n v="5"/>
    <n v="3"/>
    <n v="10349"/>
    <n v="58"/>
    <n v="2062"/>
    <n v="1382"/>
    <n v="766"/>
    <n v="191"/>
    <n v="18195"/>
    <n v="39"/>
    <n v="5"/>
    <n v="449"/>
    <n v="2"/>
    <n v="64"/>
    <n v="20"/>
    <x v="4"/>
  </r>
  <r>
    <x v="12"/>
    <n v="12"/>
    <n v="14"/>
    <n v="48"/>
    <n v="71"/>
    <n v="2"/>
    <n v="506"/>
    <n v="165"/>
    <n v="19"/>
    <n v="13"/>
    <n v="4"/>
    <n v="2"/>
    <n v="42"/>
    <n v="6"/>
    <n v="4"/>
    <n v="92"/>
    <n v="7"/>
    <n v="59"/>
    <n v="0"/>
    <n v="183"/>
    <n v="667"/>
    <n v="844"/>
    <n v="16"/>
    <n v="1116"/>
    <n v="621"/>
    <n v="1"/>
    <n v="4"/>
    <n v="4"/>
    <n v="14611"/>
    <n v="123"/>
    <n v="1970"/>
    <n v="1901"/>
    <n v="973"/>
    <n v="230"/>
    <n v="22681"/>
    <n v="57"/>
    <n v="7"/>
    <n v="350"/>
    <n v="0"/>
    <n v="30"/>
    <n v="25"/>
    <x v="4"/>
  </r>
  <r>
    <x v="5"/>
    <n v="12"/>
    <n v="16"/>
    <n v="52"/>
    <n v="67"/>
    <n v="5"/>
    <n v="570"/>
    <n v="173"/>
    <n v="9"/>
    <n v="10"/>
    <n v="4"/>
    <n v="1"/>
    <n v="44"/>
    <n v="8"/>
    <n v="3"/>
    <n v="57"/>
    <n v="5"/>
    <n v="56"/>
    <n v="0"/>
    <n v="150"/>
    <n v="627"/>
    <n v="939"/>
    <n v="17"/>
    <n v="1466"/>
    <n v="854"/>
    <n v="0"/>
    <n v="6"/>
    <n v="3"/>
    <n v="12704"/>
    <n v="104"/>
    <n v="2360"/>
    <n v="1579"/>
    <n v="850"/>
    <n v="197"/>
    <n v="21351"/>
    <n v="42"/>
    <n v="10"/>
    <n v="418"/>
    <n v="2"/>
    <n v="46"/>
    <n v="22"/>
    <x v="4"/>
  </r>
  <r>
    <x v="20"/>
    <n v="12"/>
    <n v="15"/>
    <n v="45"/>
    <n v="57"/>
    <n v="5"/>
    <n v="532"/>
    <n v="154"/>
    <n v="10"/>
    <n v="7"/>
    <n v="4"/>
    <n v="1"/>
    <n v="40"/>
    <n v="5"/>
    <n v="2"/>
    <n v="98"/>
    <n v="13"/>
    <n v="56"/>
    <n v="0"/>
    <n v="134"/>
    <n v="694"/>
    <n v="820"/>
    <n v="17"/>
    <n v="1291"/>
    <n v="686"/>
    <n v="1"/>
    <n v="6"/>
    <n v="5"/>
    <n v="14166"/>
    <n v="129"/>
    <n v="2220"/>
    <n v="2072"/>
    <n v="863"/>
    <n v="181"/>
    <n v="22628"/>
    <n v="35"/>
    <n v="16"/>
    <n v="441"/>
    <n v="0"/>
    <n v="62"/>
    <n v="40"/>
    <x v="4"/>
  </r>
  <r>
    <x v="25"/>
    <n v="12"/>
    <n v="15"/>
    <n v="56"/>
    <n v="52"/>
    <n v="7"/>
    <n v="597"/>
    <n v="184"/>
    <n v="12"/>
    <n v="10"/>
    <n v="4"/>
    <n v="1"/>
    <n v="50"/>
    <n v="6"/>
    <n v="3"/>
    <n v="102"/>
    <n v="2"/>
    <n v="71"/>
    <n v="0"/>
    <n v="126"/>
    <n v="662"/>
    <n v="725"/>
    <n v="10"/>
    <n v="1088"/>
    <n v="609"/>
    <n v="5"/>
    <n v="6"/>
    <n v="6"/>
    <n v="14252"/>
    <n v="101"/>
    <n v="2286"/>
    <n v="2138"/>
    <n v="807"/>
    <n v="187"/>
    <n v="22224"/>
    <n v="43"/>
    <n v="8"/>
    <n v="524"/>
    <n v="0"/>
    <n v="38"/>
    <n v="23"/>
    <x v="4"/>
  </r>
  <r>
    <x v="7"/>
    <n v="11"/>
    <n v="17"/>
    <n v="46"/>
    <n v="65"/>
    <n v="5"/>
    <n v="453"/>
    <n v="135"/>
    <n v="10"/>
    <n v="9"/>
    <n v="1"/>
    <n v="2"/>
    <n v="39"/>
    <n v="7"/>
    <n v="1"/>
    <n v="87"/>
    <n v="8"/>
    <n v="59"/>
    <n v="0"/>
    <n v="183"/>
    <n v="734"/>
    <n v="748"/>
    <n v="11"/>
    <n v="1521"/>
    <n v="799"/>
    <n v="1"/>
    <n v="8"/>
    <n v="6"/>
    <n v="11178"/>
    <n v="54"/>
    <n v="2057"/>
    <n v="1558"/>
    <n v="821"/>
    <n v="173"/>
    <n v="19421"/>
    <n v="44"/>
    <n v="8"/>
    <n v="357"/>
    <n v="0"/>
    <n v="50"/>
    <n v="26"/>
    <x v="4"/>
  </r>
  <r>
    <x v="18"/>
    <n v="11"/>
    <n v="11"/>
    <n v="49"/>
    <n v="52"/>
    <n v="1"/>
    <n v="547"/>
    <n v="172"/>
    <n v="10"/>
    <n v="15"/>
    <n v="2"/>
    <n v="2"/>
    <n v="42"/>
    <n v="7"/>
    <n v="2"/>
    <n v="100"/>
    <n v="14"/>
    <n v="43"/>
    <n v="0"/>
    <n v="120"/>
    <n v="668"/>
    <n v="799"/>
    <n v="5"/>
    <n v="1513"/>
    <n v="878"/>
    <n v="5"/>
    <n v="1"/>
    <n v="0"/>
    <n v="16345"/>
    <n v="119"/>
    <n v="2059"/>
    <n v="2563"/>
    <n v="865"/>
    <n v="191"/>
    <n v="24796"/>
    <n v="38"/>
    <n v="12"/>
    <n v="559"/>
    <n v="1"/>
    <n v="82"/>
    <n v="37"/>
    <x v="4"/>
  </r>
  <r>
    <x v="14"/>
    <n v="11"/>
    <n v="14"/>
    <n v="56"/>
    <n v="78"/>
    <n v="2"/>
    <n v="507"/>
    <n v="168"/>
    <n v="10"/>
    <n v="15"/>
    <n v="5"/>
    <n v="0"/>
    <n v="50"/>
    <n v="6"/>
    <n v="1"/>
    <n v="82"/>
    <n v="9"/>
    <n v="57"/>
    <n v="0"/>
    <n v="134"/>
    <n v="608"/>
    <n v="666"/>
    <n v="11"/>
    <n v="1025"/>
    <n v="598"/>
    <n v="2"/>
    <n v="6"/>
    <n v="5"/>
    <n v="14194"/>
    <n v="95"/>
    <n v="2104"/>
    <n v="2041"/>
    <n v="1022"/>
    <n v="202"/>
    <n v="22108"/>
    <n v="62"/>
    <n v="7"/>
    <n v="527"/>
    <n v="0"/>
    <n v="56"/>
    <n v="26"/>
    <x v="4"/>
  </r>
  <r>
    <x v="26"/>
    <n v="11"/>
    <n v="20"/>
    <n v="46"/>
    <n v="62"/>
    <n v="2"/>
    <n v="459"/>
    <n v="139"/>
    <n v="14"/>
    <n v="10"/>
    <n v="3"/>
    <n v="1"/>
    <n v="41"/>
    <n v="5"/>
    <n v="1"/>
    <n v="93"/>
    <n v="5"/>
    <n v="66"/>
    <n v="0"/>
    <n v="151"/>
    <n v="520"/>
    <n v="677"/>
    <n v="11"/>
    <n v="1205"/>
    <n v="663"/>
    <n v="2"/>
    <n v="4"/>
    <n v="4"/>
    <n v="14823"/>
    <n v="82"/>
    <n v="2350"/>
    <n v="2256"/>
    <n v="1104"/>
    <n v="241"/>
    <n v="22772"/>
    <n v="29"/>
    <n v="7"/>
    <n v="426"/>
    <n v="0"/>
    <n v="84"/>
    <n v="19"/>
    <x v="4"/>
  </r>
  <r>
    <x v="28"/>
    <n v="10"/>
    <n v="19"/>
    <n v="55"/>
    <n v="47"/>
    <n v="2"/>
    <n v="531"/>
    <n v="161"/>
    <n v="11"/>
    <n v="8"/>
    <n v="7"/>
    <n v="3"/>
    <n v="44"/>
    <n v="11"/>
    <n v="3"/>
    <n v="97"/>
    <n v="6"/>
    <n v="78"/>
    <n v="3"/>
    <n v="206"/>
    <n v="451"/>
    <n v="780"/>
    <n v="7"/>
    <n v="1616"/>
    <n v="860"/>
    <n v="5"/>
    <n v="3"/>
    <n v="2"/>
    <n v="15113"/>
    <n v="75"/>
    <n v="2582"/>
    <n v="2543"/>
    <n v="836"/>
    <n v="183"/>
    <n v="23616"/>
    <n v="46"/>
    <n v="16"/>
    <n v="499"/>
    <n v="0"/>
    <n v="49"/>
    <n v="29"/>
    <x v="4"/>
  </r>
  <r>
    <x v="16"/>
    <n v="9"/>
    <n v="14"/>
    <n v="40"/>
    <n v="67"/>
    <n v="4"/>
    <n v="511"/>
    <n v="170"/>
    <n v="9"/>
    <n v="3"/>
    <n v="2"/>
    <n v="5"/>
    <n v="32"/>
    <n v="8"/>
    <n v="5"/>
    <n v="71"/>
    <n v="7"/>
    <n v="61"/>
    <n v="0"/>
    <n v="116"/>
    <n v="763"/>
    <n v="914"/>
    <n v="20"/>
    <n v="1196"/>
    <n v="628"/>
    <n v="0"/>
    <n v="6"/>
    <n v="4"/>
    <n v="15180"/>
    <n v="111"/>
    <n v="2217"/>
    <n v="2183"/>
    <n v="620"/>
    <n v="169"/>
    <n v="23517"/>
    <n v="39"/>
    <n v="5"/>
    <n v="540"/>
    <n v="1"/>
    <n v="50"/>
    <n v="25"/>
    <x v="4"/>
  </r>
  <r>
    <x v="21"/>
    <n v="8"/>
    <n v="15"/>
    <n v="37"/>
    <n v="57"/>
    <n v="3"/>
    <n v="401"/>
    <n v="121"/>
    <n v="11"/>
    <n v="10"/>
    <n v="2"/>
    <n v="0"/>
    <n v="34"/>
    <n v="3"/>
    <n v="1"/>
    <n v="91"/>
    <n v="9"/>
    <n v="58"/>
    <n v="0"/>
    <n v="179"/>
    <n v="573"/>
    <n v="668"/>
    <n v="7"/>
    <n v="1261"/>
    <n v="771"/>
    <n v="4"/>
    <n v="6"/>
    <n v="5"/>
    <n v="14036"/>
    <n v="82"/>
    <n v="2657"/>
    <n v="2221"/>
    <n v="784"/>
    <n v="150"/>
    <n v="21652"/>
    <n v="30"/>
    <n v="9"/>
    <n v="375"/>
    <n v="1"/>
    <n v="71"/>
    <n v="21"/>
    <x v="4"/>
  </r>
  <r>
    <x v="11"/>
    <n v="7"/>
    <n v="19"/>
    <n v="43"/>
    <n v="59"/>
    <n v="1"/>
    <n v="572"/>
    <n v="174"/>
    <n v="18"/>
    <n v="9"/>
    <n v="5"/>
    <n v="0"/>
    <n v="38"/>
    <n v="5"/>
    <n v="1"/>
    <n v="120"/>
    <n v="5"/>
    <n v="70"/>
    <n v="0"/>
    <n v="184"/>
    <n v="583"/>
    <n v="783"/>
    <n v="13"/>
    <n v="1353"/>
    <n v="723"/>
    <n v="2"/>
    <n v="6"/>
    <n v="5"/>
    <n v="13367"/>
    <n v="126"/>
    <n v="2126"/>
    <n v="1903"/>
    <n v="814"/>
    <n v="181"/>
    <n v="21823"/>
    <n v="44"/>
    <n v="9"/>
    <n v="574"/>
    <n v="1"/>
    <n v="39"/>
    <n v="41"/>
    <x v="4"/>
  </r>
  <r>
    <x v="13"/>
    <n v="28"/>
    <n v="5"/>
    <n v="93"/>
    <n v="51"/>
    <n v="5"/>
    <n v="738"/>
    <n v="250"/>
    <n v="21"/>
    <n v="10"/>
    <n v="7"/>
    <n v="1"/>
    <n v="73"/>
    <n v="20"/>
    <n v="6"/>
    <n v="85"/>
    <n v="17"/>
    <n v="29"/>
    <n v="1"/>
    <n v="111"/>
    <n v="631"/>
    <n v="694"/>
    <n v="6"/>
    <n v="930"/>
    <n v="525"/>
    <n v="2"/>
    <n v="3"/>
    <n v="2"/>
    <n v="20863"/>
    <n v="321"/>
    <n v="1734"/>
    <n v="2937"/>
    <n v="843"/>
    <n v="269"/>
    <n v="28620"/>
    <n v="65"/>
    <n v="6"/>
    <n v="480"/>
    <n v="1"/>
    <n v="39"/>
    <n v="21"/>
    <x v="5"/>
  </r>
  <r>
    <x v="0"/>
    <n v="28"/>
    <n v="5"/>
    <n v="89"/>
    <n v="51"/>
    <n v="1"/>
    <n v="646"/>
    <n v="243"/>
    <n v="17"/>
    <n v="16"/>
    <n v="9"/>
    <n v="2"/>
    <n v="74"/>
    <n v="15"/>
    <n v="2"/>
    <n v="89"/>
    <n v="20"/>
    <n v="33"/>
    <n v="0"/>
    <n v="138"/>
    <n v="574"/>
    <n v="803"/>
    <n v="6"/>
    <n v="1165"/>
    <n v="749"/>
    <n v="2"/>
    <n v="3"/>
    <n v="2"/>
    <n v="20184"/>
    <n v="103"/>
    <n v="2189"/>
    <n v="2765"/>
    <n v="1018"/>
    <n v="279"/>
    <n v="28113"/>
    <n v="64"/>
    <n v="3"/>
    <n v="521"/>
    <n v="1"/>
    <n v="37"/>
    <n v="26"/>
    <x v="5"/>
  </r>
  <r>
    <x v="3"/>
    <n v="21"/>
    <n v="10"/>
    <n v="74"/>
    <n v="64"/>
    <n v="4"/>
    <n v="637"/>
    <n v="236"/>
    <n v="15"/>
    <n v="9"/>
    <n v="2"/>
    <n v="2"/>
    <n v="64"/>
    <n v="10"/>
    <n v="9"/>
    <n v="88"/>
    <n v="13"/>
    <n v="49"/>
    <n v="0"/>
    <n v="93"/>
    <n v="605"/>
    <n v="751"/>
    <n v="25"/>
    <n v="766"/>
    <n v="411"/>
    <n v="5"/>
    <n v="4"/>
    <n v="3"/>
    <n v="20599"/>
    <n v="294"/>
    <n v="1665"/>
    <n v="2754"/>
    <n v="896"/>
    <n v="262"/>
    <n v="28338"/>
    <n v="74"/>
    <n v="3"/>
    <n v="587"/>
    <n v="1"/>
    <n v="52"/>
    <n v="27"/>
    <x v="5"/>
  </r>
  <r>
    <x v="4"/>
    <n v="20"/>
    <n v="9"/>
    <n v="66"/>
    <n v="43"/>
    <n v="3"/>
    <n v="701"/>
    <n v="230"/>
    <n v="12"/>
    <n v="5"/>
    <n v="4"/>
    <n v="1"/>
    <n v="52"/>
    <n v="14"/>
    <n v="5"/>
    <n v="93"/>
    <n v="14"/>
    <n v="41"/>
    <n v="0"/>
    <n v="122"/>
    <n v="716"/>
    <n v="733"/>
    <n v="12"/>
    <n v="1045"/>
    <n v="561"/>
    <n v="1"/>
    <n v="1"/>
    <n v="1"/>
    <n v="19564"/>
    <n v="164"/>
    <n v="2323"/>
    <n v="2944"/>
    <n v="846"/>
    <n v="279"/>
    <n v="27761"/>
    <n v="62"/>
    <n v="6"/>
    <n v="539"/>
    <n v="0"/>
    <n v="28"/>
    <n v="12"/>
    <x v="5"/>
  </r>
  <r>
    <x v="14"/>
    <n v="19"/>
    <n v="11"/>
    <n v="56"/>
    <n v="67"/>
    <n v="2"/>
    <n v="489"/>
    <n v="154"/>
    <n v="19"/>
    <n v="6"/>
    <n v="2"/>
    <n v="3"/>
    <n v="44"/>
    <n v="12"/>
    <n v="4"/>
    <n v="97"/>
    <n v="15"/>
    <n v="51"/>
    <n v="1"/>
    <n v="143"/>
    <n v="621"/>
    <n v="744"/>
    <n v="8"/>
    <n v="987"/>
    <n v="475"/>
    <n v="0"/>
    <n v="9"/>
    <n v="7"/>
    <n v="14638"/>
    <n v="97"/>
    <n v="2130"/>
    <n v="2384"/>
    <n v="730"/>
    <n v="171"/>
    <n v="22210"/>
    <n v="27"/>
    <n v="12"/>
    <n v="592"/>
    <n v="2"/>
    <n v="59"/>
    <n v="23"/>
    <x v="5"/>
  </r>
  <r>
    <x v="1"/>
    <n v="18"/>
    <n v="10"/>
    <n v="65"/>
    <n v="74"/>
    <n v="4"/>
    <n v="671"/>
    <n v="224"/>
    <n v="20"/>
    <n v="12"/>
    <n v="4"/>
    <n v="0"/>
    <n v="60"/>
    <n v="5"/>
    <n v="2"/>
    <n v="70"/>
    <n v="10"/>
    <n v="46"/>
    <n v="1"/>
    <n v="111"/>
    <n v="637"/>
    <n v="698"/>
    <n v="5"/>
    <n v="881"/>
    <n v="477"/>
    <n v="1"/>
    <n v="6"/>
    <n v="4"/>
    <n v="18766"/>
    <n v="158"/>
    <n v="2021"/>
    <n v="2886"/>
    <n v="972"/>
    <n v="253"/>
    <n v="26276"/>
    <n v="37"/>
    <n v="10"/>
    <n v="571"/>
    <n v="0"/>
    <n v="70"/>
    <n v="17"/>
    <x v="5"/>
  </r>
  <r>
    <x v="8"/>
    <n v="15"/>
    <n v="12"/>
    <n v="50"/>
    <n v="60"/>
    <n v="2"/>
    <n v="520"/>
    <n v="164"/>
    <n v="12"/>
    <n v="9"/>
    <n v="5"/>
    <n v="1"/>
    <n v="42"/>
    <n v="8"/>
    <n v="1"/>
    <n v="116"/>
    <n v="12"/>
    <n v="40"/>
    <n v="2"/>
    <n v="145"/>
    <n v="617"/>
    <n v="624"/>
    <n v="6"/>
    <n v="1130"/>
    <n v="555"/>
    <n v="3"/>
    <n v="4"/>
    <n v="1"/>
    <n v="15063"/>
    <n v="67"/>
    <n v="2048"/>
    <n v="2108"/>
    <n v="877"/>
    <n v="180"/>
    <n v="22706"/>
    <n v="43"/>
    <n v="2"/>
    <n v="487"/>
    <n v="2"/>
    <n v="57"/>
    <n v="25"/>
    <x v="5"/>
  </r>
  <r>
    <x v="18"/>
    <n v="14"/>
    <n v="14"/>
    <n v="48"/>
    <n v="54"/>
    <n v="0"/>
    <n v="541"/>
    <n v="195"/>
    <n v="24"/>
    <n v="7"/>
    <n v="3"/>
    <n v="2"/>
    <n v="42"/>
    <n v="6"/>
    <n v="3"/>
    <n v="85"/>
    <n v="11"/>
    <n v="51"/>
    <n v="0"/>
    <n v="141"/>
    <n v="644"/>
    <n v="669"/>
    <n v="3"/>
    <n v="1005"/>
    <n v="479"/>
    <n v="2"/>
    <n v="3"/>
    <n v="3"/>
    <n v="17669"/>
    <n v="64"/>
    <n v="2004"/>
    <n v="3004"/>
    <n v="649"/>
    <n v="187"/>
    <n v="24891"/>
    <n v="38"/>
    <n v="4"/>
    <n v="469"/>
    <n v="0"/>
    <n v="69"/>
    <n v="26"/>
    <x v="5"/>
  </r>
  <r>
    <x v="2"/>
    <n v="14"/>
    <n v="14"/>
    <n v="47"/>
    <n v="53"/>
    <n v="5"/>
    <n v="667"/>
    <n v="207"/>
    <n v="33"/>
    <n v="8"/>
    <n v="1"/>
    <n v="2"/>
    <n v="40"/>
    <n v="7"/>
    <n v="3"/>
    <n v="128"/>
    <n v="12"/>
    <n v="40"/>
    <n v="0"/>
    <n v="108"/>
    <n v="505"/>
    <n v="728"/>
    <n v="5"/>
    <n v="720"/>
    <n v="365"/>
    <n v="3"/>
    <n v="5"/>
    <n v="4"/>
    <n v="18797"/>
    <n v="105"/>
    <n v="2260"/>
    <n v="2991"/>
    <n v="1103"/>
    <n v="309"/>
    <n v="26450"/>
    <n v="66"/>
    <n v="2"/>
    <n v="440"/>
    <n v="1"/>
    <n v="22"/>
    <n v="19"/>
    <x v="5"/>
  </r>
  <r>
    <x v="25"/>
    <n v="13"/>
    <n v="17"/>
    <n v="45"/>
    <n v="48"/>
    <n v="1"/>
    <n v="544"/>
    <n v="167"/>
    <n v="13"/>
    <n v="9"/>
    <n v="1"/>
    <n v="2"/>
    <n v="35"/>
    <n v="10"/>
    <n v="3"/>
    <n v="128"/>
    <n v="10"/>
    <n v="52"/>
    <n v="4"/>
    <n v="167"/>
    <n v="556"/>
    <n v="683"/>
    <n v="6"/>
    <n v="960"/>
    <n v="521"/>
    <n v="2"/>
    <n v="9"/>
    <n v="7"/>
    <n v="14691"/>
    <n v="69"/>
    <n v="1776"/>
    <n v="2094"/>
    <n v="783"/>
    <n v="212"/>
    <n v="22205"/>
    <n v="34"/>
    <n v="7"/>
    <n v="419"/>
    <n v="2"/>
    <n v="60"/>
    <n v="19"/>
    <x v="5"/>
  </r>
  <r>
    <x v="29"/>
    <n v="12"/>
    <n v="15"/>
    <n v="52"/>
    <n v="58"/>
    <n v="3"/>
    <n v="514"/>
    <n v="164"/>
    <n v="7"/>
    <n v="15"/>
    <n v="2"/>
    <n v="1"/>
    <n v="47"/>
    <n v="5"/>
    <n v="4"/>
    <n v="74"/>
    <n v="3"/>
    <n v="66"/>
    <n v="0"/>
    <n v="157"/>
    <n v="468"/>
    <n v="692"/>
    <n v="6"/>
    <n v="1451"/>
    <n v="767"/>
    <n v="1"/>
    <n v="7"/>
    <n v="5"/>
    <n v="15165"/>
    <n v="51"/>
    <n v="2430"/>
    <n v="2420"/>
    <n v="863"/>
    <n v="165"/>
    <n v="22830"/>
    <n v="30"/>
    <n v="9"/>
    <n v="379"/>
    <n v="2"/>
    <n v="56"/>
    <n v="20"/>
    <x v="5"/>
  </r>
  <r>
    <x v="30"/>
    <n v="12"/>
    <n v="15"/>
    <n v="44"/>
    <n v="40"/>
    <n v="2"/>
    <n v="472"/>
    <n v="145"/>
    <n v="14"/>
    <n v="7"/>
    <n v="5"/>
    <n v="1"/>
    <n v="36"/>
    <n v="8"/>
    <n v="1"/>
    <n v="67"/>
    <n v="14"/>
    <n v="51"/>
    <n v="0"/>
    <n v="146"/>
    <n v="579"/>
    <n v="709"/>
    <n v="3"/>
    <n v="1048"/>
    <n v="439"/>
    <n v="2"/>
    <n v="3"/>
    <n v="1"/>
    <n v="20795"/>
    <n v="105"/>
    <n v="2121"/>
    <n v="3726"/>
    <n v="721"/>
    <n v="201"/>
    <n v="28300"/>
    <n v="36"/>
    <n v="3"/>
    <n v="518"/>
    <n v="2"/>
    <n v="69"/>
    <n v="22"/>
    <x v="5"/>
  </r>
  <r>
    <x v="23"/>
    <n v="11"/>
    <n v="15"/>
    <n v="36"/>
    <n v="60"/>
    <n v="2"/>
    <n v="376"/>
    <n v="94"/>
    <n v="7"/>
    <n v="14"/>
    <n v="4"/>
    <n v="0"/>
    <n v="33"/>
    <n v="3"/>
    <n v="1"/>
    <n v="62"/>
    <n v="9"/>
    <n v="53"/>
    <n v="11"/>
    <n v="157"/>
    <n v="461"/>
    <n v="655"/>
    <n v="4"/>
    <n v="1910"/>
    <n v="959"/>
    <n v="3"/>
    <n v="7"/>
    <n v="7"/>
    <n v="10831"/>
    <n v="23"/>
    <n v="2194"/>
    <n v="1699"/>
    <n v="826"/>
    <n v="166"/>
    <n v="18936"/>
    <n v="33"/>
    <n v="4"/>
    <n v="460"/>
    <n v="0"/>
    <n v="68"/>
    <n v="23"/>
    <x v="5"/>
  </r>
  <r>
    <x v="20"/>
    <n v="11"/>
    <n v="15"/>
    <n v="45"/>
    <n v="60"/>
    <n v="4"/>
    <n v="458"/>
    <n v="141"/>
    <n v="11"/>
    <n v="8"/>
    <n v="1"/>
    <n v="5"/>
    <n v="32"/>
    <n v="13"/>
    <n v="3"/>
    <n v="76"/>
    <n v="12"/>
    <n v="46"/>
    <n v="0"/>
    <n v="194"/>
    <n v="652"/>
    <n v="824"/>
    <n v="7"/>
    <n v="1158"/>
    <n v="600"/>
    <n v="2"/>
    <n v="5"/>
    <n v="3"/>
    <n v="13913"/>
    <n v="45"/>
    <n v="2135"/>
    <n v="2159"/>
    <n v="864"/>
    <n v="181"/>
    <n v="21770"/>
    <n v="39"/>
    <n v="8"/>
    <n v="423"/>
    <n v="1"/>
    <n v="65"/>
    <n v="26"/>
    <x v="5"/>
  </r>
  <r>
    <x v="16"/>
    <n v="11"/>
    <n v="17"/>
    <n v="42"/>
    <n v="67"/>
    <n v="3"/>
    <n v="519"/>
    <n v="162"/>
    <n v="13"/>
    <n v="6"/>
    <n v="5"/>
    <n v="1"/>
    <n v="29"/>
    <n v="13"/>
    <n v="2"/>
    <n v="71"/>
    <n v="8"/>
    <n v="62"/>
    <n v="0"/>
    <n v="129"/>
    <n v="578"/>
    <n v="729"/>
    <n v="7"/>
    <n v="925"/>
    <n v="413"/>
    <n v="1"/>
    <n v="8"/>
    <n v="4"/>
    <n v="15715"/>
    <n v="55"/>
    <n v="2154"/>
    <n v="2322"/>
    <n v="744"/>
    <n v="212"/>
    <n v="22943"/>
    <n v="41"/>
    <n v="3"/>
    <n v="414"/>
    <n v="4"/>
    <n v="42"/>
    <n v="23"/>
    <x v="5"/>
  </r>
  <r>
    <x v="5"/>
    <n v="10"/>
    <n v="22"/>
    <n v="46"/>
    <n v="50"/>
    <n v="5"/>
    <n v="495"/>
    <n v="163"/>
    <n v="8"/>
    <n v="7"/>
    <n v="5"/>
    <n v="0"/>
    <n v="40"/>
    <n v="6"/>
    <n v="0"/>
    <n v="55"/>
    <n v="3"/>
    <n v="77"/>
    <n v="0"/>
    <n v="169"/>
    <n v="694"/>
    <n v="732"/>
    <n v="9"/>
    <n v="1255"/>
    <n v="648"/>
    <n v="1"/>
    <n v="3"/>
    <n v="2"/>
    <n v="13580"/>
    <n v="101"/>
    <n v="2123"/>
    <n v="1955"/>
    <n v="769"/>
    <n v="210"/>
    <n v="21694"/>
    <n v="25"/>
    <n v="8"/>
    <n v="442"/>
    <n v="1"/>
    <n v="58"/>
    <n v="16"/>
    <x v="5"/>
  </r>
  <r>
    <x v="31"/>
    <n v="10"/>
    <n v="21"/>
    <n v="43"/>
    <n v="54"/>
    <n v="9"/>
    <n v="539"/>
    <n v="150"/>
    <n v="15"/>
    <n v="10"/>
    <n v="2"/>
    <n v="3"/>
    <n v="36"/>
    <n v="7"/>
    <n v="0"/>
    <n v="83"/>
    <n v="7"/>
    <n v="66"/>
    <n v="0"/>
    <n v="187"/>
    <n v="547"/>
    <n v="764"/>
    <n v="1"/>
    <n v="1412"/>
    <n v="800"/>
    <n v="2"/>
    <n v="3"/>
    <n v="3"/>
    <n v="13383"/>
    <n v="42"/>
    <n v="2149"/>
    <n v="2005"/>
    <n v="796"/>
    <n v="195"/>
    <n v="21309"/>
    <n v="23"/>
    <n v="8"/>
    <n v="429"/>
    <n v="0"/>
    <n v="26"/>
    <n v="22"/>
    <x v="5"/>
  </r>
  <r>
    <x v="7"/>
    <n v="8"/>
    <n v="23"/>
    <n v="48"/>
    <n v="66"/>
    <n v="5"/>
    <n v="453"/>
    <n v="143"/>
    <n v="10"/>
    <n v="13"/>
    <n v="4"/>
    <n v="2"/>
    <n v="41"/>
    <n v="7"/>
    <n v="2"/>
    <n v="58"/>
    <n v="3"/>
    <n v="78"/>
    <n v="0"/>
    <n v="149"/>
    <n v="716"/>
    <n v="690"/>
    <n v="6"/>
    <n v="1328"/>
    <n v="575"/>
    <n v="4"/>
    <n v="3"/>
    <n v="2"/>
    <n v="12424"/>
    <n v="59"/>
    <n v="2067"/>
    <n v="1934"/>
    <n v="610"/>
    <n v="166"/>
    <n v="20036"/>
    <n v="37"/>
    <n v="6"/>
    <n v="370"/>
    <n v="1"/>
    <n v="53"/>
    <n v="10"/>
    <x v="5"/>
  </r>
  <r>
    <x v="12"/>
    <n v="7"/>
    <n v="14"/>
    <n v="37"/>
    <n v="70"/>
    <n v="2"/>
    <n v="438"/>
    <n v="138"/>
    <n v="9"/>
    <n v="3"/>
    <n v="3"/>
    <n v="0"/>
    <n v="29"/>
    <n v="8"/>
    <n v="1"/>
    <n v="85"/>
    <n v="9"/>
    <n v="53"/>
    <n v="0"/>
    <n v="176"/>
    <n v="740"/>
    <n v="774"/>
    <n v="4"/>
    <n v="1301"/>
    <n v="682"/>
    <n v="2"/>
    <n v="7"/>
    <n v="6"/>
    <n v="13158"/>
    <n v="62"/>
    <n v="1980"/>
    <n v="2013"/>
    <n v="834"/>
    <n v="218"/>
    <n v="21017"/>
    <n v="39"/>
    <n v="8"/>
    <n v="300"/>
    <n v="0"/>
    <n v="41"/>
    <n v="15"/>
    <x v="5"/>
  </r>
  <r>
    <x v="26"/>
    <n v="5"/>
    <n v="23"/>
    <n v="40"/>
    <n v="64"/>
    <n v="4"/>
    <n v="473"/>
    <n v="152"/>
    <n v="10"/>
    <n v="9"/>
    <n v="3"/>
    <n v="0"/>
    <n v="37"/>
    <n v="3"/>
    <n v="1"/>
    <n v="82"/>
    <n v="4"/>
    <n v="82"/>
    <n v="9"/>
    <n v="159"/>
    <n v="598"/>
    <n v="619"/>
    <n v="4"/>
    <n v="1178"/>
    <n v="495"/>
    <n v="2"/>
    <n v="7"/>
    <n v="5"/>
    <n v="14860"/>
    <n v="30"/>
    <n v="2249"/>
    <n v="2538"/>
    <n v="999"/>
    <n v="205"/>
    <n v="22585"/>
    <n v="29"/>
    <n v="6"/>
    <n v="425"/>
    <n v="2"/>
    <n v="81"/>
    <n v="22"/>
    <x v="5"/>
  </r>
  <r>
    <x v="0"/>
    <n v="28"/>
    <n v="5"/>
    <n v="86"/>
    <n v="57"/>
    <n v="1"/>
    <n v="561"/>
    <n v="213"/>
    <n v="24"/>
    <n v="14"/>
    <n v="4"/>
    <n v="1"/>
    <n v="77"/>
    <n v="9"/>
    <n v="2"/>
    <n v="96"/>
    <n v="13"/>
    <n v="43"/>
    <n v="1"/>
    <n v="143"/>
    <n v="514"/>
    <n v="731"/>
    <n v="4"/>
    <n v="1319"/>
    <n v="848"/>
    <n v="4"/>
    <n v="0"/>
    <n v="0"/>
    <n v="19696"/>
    <n v="103"/>
    <n v="1973"/>
    <n v="2727"/>
    <n v="962"/>
    <n v="218"/>
    <n v="27264"/>
    <n v="65"/>
    <n v="5"/>
    <n v="506"/>
    <n v="0"/>
    <n v="38"/>
    <n v="28"/>
    <x v="6"/>
  </r>
  <r>
    <x v="13"/>
    <n v="23"/>
    <n v="6"/>
    <n v="66"/>
    <n v="62"/>
    <n v="3"/>
    <n v="660"/>
    <n v="231"/>
    <n v="16"/>
    <n v="6"/>
    <n v="4"/>
    <n v="2"/>
    <n v="57"/>
    <n v="9"/>
    <n v="6"/>
    <n v="75"/>
    <n v="18"/>
    <n v="34"/>
    <n v="1"/>
    <n v="111"/>
    <n v="492"/>
    <n v="683"/>
    <n v="3"/>
    <n v="1068"/>
    <n v="551"/>
    <n v="2"/>
    <n v="2"/>
    <n v="1"/>
    <n v="20061"/>
    <n v="161"/>
    <n v="1613"/>
    <n v="2720"/>
    <n v="860"/>
    <n v="269"/>
    <n v="27525"/>
    <n v="86"/>
    <n v="6"/>
    <n v="515"/>
    <n v="1"/>
    <n v="28"/>
    <n v="23"/>
    <x v="6"/>
  </r>
  <r>
    <x v="1"/>
    <n v="22"/>
    <n v="7"/>
    <n v="75"/>
    <n v="51"/>
    <n v="3"/>
    <n v="626"/>
    <n v="212"/>
    <n v="7"/>
    <n v="16"/>
    <n v="9"/>
    <n v="3"/>
    <n v="64"/>
    <n v="11"/>
    <n v="3"/>
    <n v="80"/>
    <n v="14"/>
    <n v="39"/>
    <n v="6"/>
    <n v="104"/>
    <n v="504"/>
    <n v="710"/>
    <n v="4"/>
    <n v="981"/>
    <n v="603"/>
    <n v="2"/>
    <n v="1"/>
    <n v="0"/>
    <n v="18425"/>
    <n v="52"/>
    <n v="2008"/>
    <n v="2790"/>
    <n v="863"/>
    <n v="240"/>
    <n v="25959"/>
    <n v="45"/>
    <n v="1"/>
    <n v="434"/>
    <n v="0"/>
    <n v="53"/>
    <n v="29"/>
    <x v="6"/>
  </r>
  <r>
    <x v="3"/>
    <n v="21"/>
    <n v="7"/>
    <n v="72"/>
    <n v="42"/>
    <n v="5"/>
    <n v="597"/>
    <n v="205"/>
    <n v="16"/>
    <n v="11"/>
    <n v="5"/>
    <n v="2"/>
    <n v="65"/>
    <n v="7"/>
    <n v="7"/>
    <n v="80"/>
    <n v="14"/>
    <n v="37"/>
    <n v="0"/>
    <n v="94"/>
    <n v="636"/>
    <n v="748"/>
    <n v="19"/>
    <n v="873"/>
    <n v="492"/>
    <n v="0"/>
    <n v="6"/>
    <n v="4"/>
    <n v="21110"/>
    <n v="226"/>
    <n v="1755"/>
    <n v="3079"/>
    <n v="951"/>
    <n v="260"/>
    <n v="28862"/>
    <n v="50"/>
    <n v="5"/>
    <n v="411"/>
    <n v="1"/>
    <n v="31"/>
    <n v="20"/>
    <x v="6"/>
  </r>
  <r>
    <x v="4"/>
    <n v="21"/>
    <n v="8"/>
    <n v="66"/>
    <n v="55"/>
    <n v="2"/>
    <n v="681"/>
    <n v="241"/>
    <n v="17"/>
    <n v="6"/>
    <n v="0"/>
    <n v="2"/>
    <n v="50"/>
    <n v="16"/>
    <n v="6"/>
    <n v="77"/>
    <n v="9"/>
    <n v="46"/>
    <n v="0"/>
    <n v="90"/>
    <n v="721"/>
    <n v="745"/>
    <n v="8"/>
    <n v="1595"/>
    <n v="870"/>
    <n v="1"/>
    <n v="3"/>
    <n v="3"/>
    <n v="16647"/>
    <n v="101"/>
    <n v="2028"/>
    <n v="2542"/>
    <n v="884"/>
    <n v="262"/>
    <n v="25155"/>
    <n v="41"/>
    <n v="6"/>
    <n v="466"/>
    <n v="0"/>
    <n v="44"/>
    <n v="30"/>
    <x v="6"/>
  </r>
  <r>
    <x v="8"/>
    <n v="16"/>
    <n v="7"/>
    <n v="55"/>
    <n v="59"/>
    <n v="3"/>
    <n v="633"/>
    <n v="207"/>
    <n v="21"/>
    <n v="13"/>
    <n v="2"/>
    <n v="1"/>
    <n v="44"/>
    <n v="11"/>
    <n v="4"/>
    <n v="100"/>
    <n v="11"/>
    <n v="40"/>
    <n v="4"/>
    <n v="126"/>
    <n v="592"/>
    <n v="720"/>
    <n v="7"/>
    <n v="1172"/>
    <n v="677"/>
    <n v="2"/>
    <n v="2"/>
    <n v="2"/>
    <n v="15829"/>
    <n v="54"/>
    <n v="2055"/>
    <n v="2271"/>
    <n v="989"/>
    <n v="257"/>
    <n v="23854"/>
    <n v="67"/>
    <n v="8"/>
    <n v="449"/>
    <n v="0"/>
    <n v="61"/>
    <n v="28"/>
    <x v="6"/>
  </r>
  <r>
    <x v="2"/>
    <n v="16"/>
    <n v="9"/>
    <n v="71"/>
    <n v="54"/>
    <n v="2"/>
    <n v="739"/>
    <n v="232"/>
    <n v="19"/>
    <n v="9"/>
    <n v="5"/>
    <n v="3"/>
    <n v="59"/>
    <n v="12"/>
    <n v="1"/>
    <n v="110"/>
    <n v="16"/>
    <n v="43"/>
    <n v="0"/>
    <n v="107"/>
    <n v="526"/>
    <n v="795"/>
    <n v="2"/>
    <n v="914"/>
    <n v="448"/>
    <n v="1"/>
    <n v="5"/>
    <n v="4"/>
    <n v="19802"/>
    <n v="101"/>
    <n v="2040"/>
    <n v="3004"/>
    <n v="794"/>
    <n v="284"/>
    <n v="27722"/>
    <n v="61"/>
    <n v="3"/>
    <n v="529"/>
    <n v="1"/>
    <n v="38"/>
    <n v="23"/>
    <x v="6"/>
  </r>
  <r>
    <x v="25"/>
    <n v="14"/>
    <n v="17"/>
    <n v="53"/>
    <n v="63"/>
    <n v="4"/>
    <n v="506"/>
    <n v="170"/>
    <n v="15"/>
    <n v="13"/>
    <n v="5"/>
    <n v="0"/>
    <n v="46"/>
    <n v="7"/>
    <n v="5"/>
    <n v="100"/>
    <n v="8"/>
    <n v="57"/>
    <n v="2"/>
    <n v="158"/>
    <n v="377"/>
    <n v="698"/>
    <n v="1"/>
    <n v="1079"/>
    <n v="670"/>
    <n v="3"/>
    <n v="6"/>
    <n v="5"/>
    <n v="14367"/>
    <n v="30"/>
    <n v="1896"/>
    <n v="2123"/>
    <n v="778"/>
    <n v="202"/>
    <n v="21491"/>
    <n v="39"/>
    <n v="3"/>
    <n v="455"/>
    <n v="1"/>
    <n v="77"/>
    <n v="15"/>
    <x v="6"/>
  </r>
  <r>
    <x v="11"/>
    <n v="12"/>
    <n v="16"/>
    <n v="45"/>
    <n v="74"/>
    <n v="1"/>
    <n v="492"/>
    <n v="158"/>
    <n v="9"/>
    <n v="9"/>
    <n v="4"/>
    <n v="2"/>
    <n v="38"/>
    <n v="7"/>
    <n v="2"/>
    <n v="82"/>
    <n v="11"/>
    <n v="53"/>
    <n v="2"/>
    <n v="166"/>
    <n v="459"/>
    <n v="728"/>
    <n v="4"/>
    <n v="1520"/>
    <n v="788"/>
    <n v="1"/>
    <n v="2"/>
    <n v="2"/>
    <n v="12582"/>
    <n v="26"/>
    <n v="1910"/>
    <n v="2111"/>
    <n v="1014"/>
    <n v="212"/>
    <n v="20669"/>
    <n v="38"/>
    <n v="4"/>
    <n v="493"/>
    <n v="0"/>
    <n v="36"/>
    <n v="6"/>
    <x v="6"/>
  </r>
  <r>
    <x v="18"/>
    <n v="11"/>
    <n v="17"/>
    <n v="50"/>
    <n v="48"/>
    <n v="3"/>
    <n v="460"/>
    <n v="160"/>
    <n v="19"/>
    <n v="10"/>
    <n v="6"/>
    <n v="1"/>
    <n v="43"/>
    <n v="7"/>
    <n v="2"/>
    <n v="74"/>
    <n v="8"/>
    <n v="60"/>
    <n v="0"/>
    <n v="161"/>
    <n v="745"/>
    <n v="680"/>
    <n v="3"/>
    <n v="1274"/>
    <n v="669"/>
    <n v="0"/>
    <n v="6"/>
    <n v="3"/>
    <n v="16940"/>
    <n v="40"/>
    <n v="2131"/>
    <n v="2887"/>
    <n v="733"/>
    <n v="176"/>
    <n v="24744"/>
    <n v="34"/>
    <n v="7"/>
    <n v="446"/>
    <n v="3"/>
    <n v="67"/>
    <n v="24"/>
    <x v="6"/>
  </r>
  <r>
    <x v="14"/>
    <n v="11"/>
    <n v="19"/>
    <n v="45"/>
    <n v="71"/>
    <n v="4"/>
    <n v="533"/>
    <n v="174"/>
    <n v="12"/>
    <n v="6"/>
    <n v="4"/>
    <n v="3"/>
    <n v="34"/>
    <n v="11"/>
    <n v="2"/>
    <n v="84"/>
    <n v="6"/>
    <n v="68"/>
    <n v="0"/>
    <n v="115"/>
    <n v="478"/>
    <n v="732"/>
    <n v="9"/>
    <n v="1584"/>
    <n v="741"/>
    <n v="1"/>
    <n v="4"/>
    <n v="4"/>
    <n v="14599"/>
    <n v="84"/>
    <n v="2285"/>
    <n v="2364"/>
    <n v="941"/>
    <n v="203"/>
    <n v="23005"/>
    <n v="44"/>
    <n v="5"/>
    <n v="506"/>
    <n v="0"/>
    <n v="74"/>
    <n v="38"/>
    <x v="6"/>
  </r>
  <r>
    <x v="30"/>
    <n v="11"/>
    <n v="14"/>
    <n v="47"/>
    <n v="58"/>
    <n v="2"/>
    <n v="504"/>
    <n v="167"/>
    <n v="11"/>
    <n v="7"/>
    <n v="0"/>
    <n v="1"/>
    <n v="41"/>
    <n v="6"/>
    <n v="2"/>
    <n v="87"/>
    <n v="10"/>
    <n v="51"/>
    <n v="0"/>
    <n v="157"/>
    <n v="697"/>
    <n v="686"/>
    <n v="2"/>
    <n v="1353"/>
    <n v="695"/>
    <n v="1"/>
    <n v="5"/>
    <n v="4"/>
    <n v="19943"/>
    <n v="79"/>
    <n v="2024"/>
    <n v="3599"/>
    <n v="790"/>
    <n v="193"/>
    <n v="27641"/>
    <n v="42"/>
    <n v="10"/>
    <n v="361"/>
    <n v="1"/>
    <n v="51"/>
    <n v="25"/>
    <x v="6"/>
  </r>
  <r>
    <x v="12"/>
    <n v="10"/>
    <n v="17"/>
    <n v="47"/>
    <n v="72"/>
    <n v="3"/>
    <n v="438"/>
    <n v="141"/>
    <n v="10"/>
    <n v="7"/>
    <n v="3"/>
    <n v="1"/>
    <n v="35"/>
    <n v="12"/>
    <n v="6"/>
    <n v="97"/>
    <n v="5"/>
    <n v="69"/>
    <n v="2"/>
    <n v="177"/>
    <n v="769"/>
    <n v="741"/>
    <n v="9"/>
    <n v="1520"/>
    <n v="733"/>
    <n v="5"/>
    <n v="8"/>
    <n v="7"/>
    <n v="14247"/>
    <n v="58"/>
    <n v="1900"/>
    <n v="2236"/>
    <n v="676"/>
    <n v="177"/>
    <n v="22314"/>
    <n v="33"/>
    <n v="9"/>
    <n v="505"/>
    <n v="1"/>
    <n v="101"/>
    <n v="25"/>
    <x v="6"/>
  </r>
  <r>
    <x v="29"/>
    <n v="10"/>
    <n v="14"/>
    <n v="41"/>
    <n v="60"/>
    <n v="1"/>
    <n v="413"/>
    <n v="134"/>
    <n v="7"/>
    <n v="13"/>
    <n v="1"/>
    <n v="4"/>
    <n v="36"/>
    <n v="5"/>
    <n v="0"/>
    <n v="97"/>
    <n v="10"/>
    <n v="58"/>
    <n v="0"/>
    <n v="141"/>
    <n v="540"/>
    <n v="676"/>
    <n v="4"/>
    <n v="1146"/>
    <n v="437"/>
    <n v="3"/>
    <n v="7"/>
    <n v="4"/>
    <n v="13403"/>
    <n v="47"/>
    <n v="1994"/>
    <n v="2178"/>
    <n v="837"/>
    <n v="172"/>
    <n v="20675"/>
    <n v="40"/>
    <n v="5"/>
    <n v="387"/>
    <n v="2"/>
    <n v="46"/>
    <n v="19"/>
    <x v="6"/>
  </r>
  <r>
    <x v="32"/>
    <n v="9"/>
    <n v="15"/>
    <n v="49"/>
    <n v="43"/>
    <n v="2"/>
    <n v="516"/>
    <n v="167"/>
    <n v="16"/>
    <n v="9"/>
    <n v="3"/>
    <n v="2"/>
    <n v="45"/>
    <n v="4"/>
    <n v="2"/>
    <n v="86"/>
    <n v="7"/>
    <n v="60"/>
    <n v="0"/>
    <n v="109"/>
    <n v="779"/>
    <n v="819"/>
    <n v="21"/>
    <n v="1275"/>
    <n v="566"/>
    <n v="5"/>
    <n v="5"/>
    <n v="2"/>
    <n v="16810"/>
    <n v="247"/>
    <n v="1826"/>
    <n v="2578"/>
    <n v="917"/>
    <n v="209"/>
    <n v="25365"/>
    <n v="41"/>
    <n v="3"/>
    <n v="477"/>
    <n v="3"/>
    <n v="56"/>
    <n v="16"/>
    <x v="6"/>
  </r>
  <r>
    <x v="23"/>
    <n v="9"/>
    <n v="14"/>
    <n v="34"/>
    <n v="78"/>
    <n v="4"/>
    <n v="390"/>
    <n v="114"/>
    <n v="12"/>
    <n v="9"/>
    <n v="3"/>
    <n v="0"/>
    <n v="33"/>
    <n v="1"/>
    <n v="1"/>
    <n v="72"/>
    <n v="12"/>
    <n v="45"/>
    <n v="9"/>
    <n v="159"/>
    <n v="499"/>
    <n v="728"/>
    <n v="5"/>
    <n v="1161"/>
    <n v="567"/>
    <n v="4"/>
    <n v="6"/>
    <n v="6"/>
    <n v="12287"/>
    <n v="32"/>
    <n v="1989"/>
    <n v="1838"/>
    <n v="855"/>
    <n v="165"/>
    <n v="19830"/>
    <n v="35"/>
    <n v="3"/>
    <n v="397"/>
    <n v="0"/>
    <n v="91"/>
    <n v="6"/>
    <x v="6"/>
  </r>
  <r>
    <x v="20"/>
    <n v="9"/>
    <n v="17"/>
    <n v="41"/>
    <n v="62"/>
    <n v="3"/>
    <n v="417"/>
    <n v="139"/>
    <n v="7"/>
    <n v="2"/>
    <n v="4"/>
    <n v="1"/>
    <n v="33"/>
    <n v="8"/>
    <n v="3"/>
    <n v="68"/>
    <n v="11"/>
    <n v="54"/>
    <n v="0"/>
    <n v="178"/>
    <n v="582"/>
    <n v="784"/>
    <n v="9"/>
    <n v="1155"/>
    <n v="607"/>
    <n v="4"/>
    <n v="4"/>
    <n v="4"/>
    <n v="13109"/>
    <n v="52"/>
    <n v="1952"/>
    <n v="1984"/>
    <n v="868"/>
    <n v="179"/>
    <n v="20782"/>
    <n v="30"/>
    <n v="8"/>
    <n v="423"/>
    <n v="0"/>
    <n v="52"/>
    <n v="39"/>
    <x v="6"/>
  </r>
  <r>
    <x v="16"/>
    <n v="9"/>
    <n v="20"/>
    <n v="47"/>
    <n v="66"/>
    <n v="2"/>
    <n v="500"/>
    <n v="170"/>
    <n v="7"/>
    <n v="9"/>
    <n v="1"/>
    <n v="2"/>
    <n v="42"/>
    <n v="5"/>
    <n v="3"/>
    <n v="83"/>
    <n v="5"/>
    <n v="73"/>
    <n v="0"/>
    <n v="135"/>
    <n v="692"/>
    <n v="716"/>
    <n v="3"/>
    <n v="901"/>
    <n v="423"/>
    <n v="3"/>
    <n v="7"/>
    <n v="6"/>
    <n v="17927"/>
    <n v="54"/>
    <n v="2048"/>
    <n v="2773"/>
    <n v="813"/>
    <n v="198"/>
    <n v="25173"/>
    <n v="36"/>
    <n v="5"/>
    <n v="418"/>
    <n v="1"/>
    <n v="41"/>
    <n v="28"/>
    <x v="6"/>
  </r>
  <r>
    <x v="6"/>
    <n v="6"/>
    <n v="22"/>
    <n v="43"/>
    <n v="45"/>
    <n v="1"/>
    <n v="394"/>
    <n v="128"/>
    <n v="9"/>
    <n v="12"/>
    <n v="4"/>
    <n v="1"/>
    <n v="39"/>
    <n v="4"/>
    <n v="2"/>
    <n v="80"/>
    <n v="5"/>
    <n v="73"/>
    <n v="0"/>
    <n v="166"/>
    <n v="560"/>
    <n v="602"/>
    <n v="10"/>
    <n v="1300"/>
    <n v="620"/>
    <n v="0"/>
    <n v="4"/>
    <n v="4"/>
    <n v="11806"/>
    <n v="38"/>
    <n v="1855"/>
    <n v="1760"/>
    <n v="1009"/>
    <n v="189"/>
    <n v="19613"/>
    <n v="25"/>
    <n v="12"/>
    <n v="442"/>
    <n v="0"/>
    <n v="47"/>
    <n v="37"/>
    <x v="6"/>
  </r>
  <r>
    <x v="31"/>
    <n v="4"/>
    <n v="21"/>
    <n v="30"/>
    <n v="59"/>
    <n v="3"/>
    <n v="500"/>
    <n v="146"/>
    <n v="9"/>
    <n v="4"/>
    <n v="1"/>
    <n v="0"/>
    <n v="18"/>
    <n v="12"/>
    <n v="3"/>
    <n v="108"/>
    <n v="7"/>
    <n v="60"/>
    <n v="0"/>
    <n v="174"/>
    <n v="660"/>
    <n v="818"/>
    <n v="4"/>
    <n v="1363"/>
    <n v="703"/>
    <n v="5"/>
    <n v="3"/>
    <n v="3"/>
    <n v="13632"/>
    <n v="50"/>
    <n v="1800"/>
    <n v="1925"/>
    <n v="683"/>
    <n v="170"/>
    <n v="21941"/>
    <n v="32"/>
    <n v="8"/>
    <n v="453"/>
    <n v="0"/>
    <n v="56"/>
    <n v="37"/>
    <x v="6"/>
  </r>
  <r>
    <x v="13"/>
    <n v="27"/>
    <n v="6"/>
    <n v="102"/>
    <n v="72"/>
    <n v="1"/>
    <n v="673"/>
    <n v="238"/>
    <n v="19"/>
    <n v="10"/>
    <n v="6"/>
    <n v="5"/>
    <n v="86"/>
    <n v="16"/>
    <n v="5"/>
    <n v="59"/>
    <n v="16"/>
    <n v="37"/>
    <n v="88"/>
    <n v="61"/>
    <n v="496"/>
    <n v="756"/>
    <n v="8"/>
    <n v="938"/>
    <n v="531"/>
    <n v="2"/>
    <n v="1"/>
    <n v="1"/>
    <n v="20761"/>
    <n v="120"/>
    <n v="1791"/>
    <n v="3195"/>
    <n v="892"/>
    <n v="283"/>
    <n v="28341"/>
    <n v="59"/>
    <n v="0"/>
    <n v="411"/>
    <n v="0"/>
    <n v="64"/>
    <n v="31"/>
    <x v="7"/>
  </r>
  <r>
    <x v="2"/>
    <n v="26"/>
    <n v="6"/>
    <n v="101"/>
    <n v="54"/>
    <n v="1"/>
    <n v="651"/>
    <n v="258"/>
    <n v="27"/>
    <n v="14"/>
    <n v="10"/>
    <n v="6"/>
    <n v="82"/>
    <n v="19"/>
    <n v="9"/>
    <n v="78"/>
    <n v="10"/>
    <n v="50"/>
    <n v="107"/>
    <n v="127"/>
    <n v="465"/>
    <n v="848"/>
    <n v="3"/>
    <n v="1339"/>
    <n v="750"/>
    <n v="6"/>
    <n v="4"/>
    <n v="3"/>
    <n v="19599"/>
    <n v="191"/>
    <n v="1895"/>
    <n v="2959"/>
    <n v="643"/>
    <n v="224"/>
    <n v="28172"/>
    <n v="64"/>
    <n v="5"/>
    <n v="427"/>
    <n v="1"/>
    <n v="36"/>
    <n v="29"/>
    <x v="7"/>
  </r>
  <r>
    <x v="1"/>
    <n v="25"/>
    <n v="6"/>
    <n v="71"/>
    <n v="57"/>
    <n v="3"/>
    <n v="692"/>
    <n v="229"/>
    <n v="19"/>
    <n v="6"/>
    <n v="5"/>
    <n v="2"/>
    <n v="54"/>
    <n v="17"/>
    <n v="5"/>
    <n v="106"/>
    <n v="18"/>
    <n v="27"/>
    <n v="96"/>
    <n v="95"/>
    <n v="380"/>
    <n v="733"/>
    <n v="4"/>
    <n v="1141"/>
    <n v="741"/>
    <n v="2"/>
    <n v="1"/>
    <n v="1"/>
    <n v="18266"/>
    <n v="53"/>
    <n v="2052"/>
    <n v="2800"/>
    <n v="809"/>
    <n v="248"/>
    <n v="26541"/>
    <n v="44"/>
    <n v="2"/>
    <n v="392"/>
    <n v="0"/>
    <n v="42"/>
    <n v="16"/>
    <x v="7"/>
  </r>
  <r>
    <x v="3"/>
    <n v="24"/>
    <n v="7"/>
    <n v="68"/>
    <n v="53"/>
    <n v="4"/>
    <n v="523"/>
    <n v="213"/>
    <n v="15"/>
    <n v="12"/>
    <n v="3"/>
    <n v="0"/>
    <n v="63"/>
    <n v="5"/>
    <n v="4"/>
    <n v="74"/>
    <n v="17"/>
    <n v="41"/>
    <n v="116"/>
    <n v="101"/>
    <n v="541"/>
    <n v="714"/>
    <n v="14"/>
    <n v="1207"/>
    <n v="703"/>
    <n v="2"/>
    <n v="6"/>
    <n v="5"/>
    <n v="21561"/>
    <n v="144"/>
    <n v="1799"/>
    <n v="3211"/>
    <n v="753"/>
    <n v="210"/>
    <n v="29825"/>
    <n v="50"/>
    <n v="3"/>
    <n v="367"/>
    <n v="1"/>
    <n v="70"/>
    <n v="27"/>
    <x v="7"/>
  </r>
  <r>
    <x v="8"/>
    <n v="21"/>
    <n v="8"/>
    <n v="61"/>
    <n v="55"/>
    <n v="1"/>
    <n v="561"/>
    <n v="196"/>
    <n v="14"/>
    <n v="6"/>
    <n v="3"/>
    <n v="5"/>
    <n v="49"/>
    <n v="12"/>
    <n v="3"/>
    <n v="80"/>
    <n v="15"/>
    <n v="39"/>
    <n v="117"/>
    <n v="130"/>
    <n v="463"/>
    <n v="744"/>
    <n v="9"/>
    <n v="1103"/>
    <n v="672"/>
    <n v="4"/>
    <n v="6"/>
    <n v="3"/>
    <n v="18301"/>
    <n v="49"/>
    <n v="2239"/>
    <n v="2871"/>
    <n v="848"/>
    <n v="251"/>
    <n v="26857"/>
    <n v="28"/>
    <n v="2"/>
    <n v="471"/>
    <n v="2"/>
    <n v="59"/>
    <n v="14"/>
    <x v="7"/>
  </r>
  <r>
    <x v="4"/>
    <n v="21"/>
    <n v="11"/>
    <n v="55"/>
    <n v="66"/>
    <n v="4"/>
    <n v="588"/>
    <n v="192"/>
    <n v="12"/>
    <n v="6"/>
    <n v="5"/>
    <n v="2"/>
    <n v="45"/>
    <n v="10"/>
    <n v="4"/>
    <n v="64"/>
    <n v="14"/>
    <n v="51"/>
    <n v="106"/>
    <n v="81"/>
    <n v="560"/>
    <n v="750"/>
    <n v="4"/>
    <n v="974"/>
    <n v="585"/>
    <n v="3"/>
    <n v="5"/>
    <n v="3"/>
    <n v="17933"/>
    <n v="41"/>
    <n v="2121"/>
    <n v="2596"/>
    <n v="849"/>
    <n v="230"/>
    <n v="26241"/>
    <n v="64"/>
    <n v="3"/>
    <n v="598"/>
    <n v="1"/>
    <n v="41"/>
    <n v="38"/>
    <x v="7"/>
  </r>
  <r>
    <x v="0"/>
    <n v="19"/>
    <n v="12"/>
    <n v="64"/>
    <n v="66"/>
    <n v="3"/>
    <n v="526"/>
    <n v="183"/>
    <n v="16"/>
    <n v="10"/>
    <n v="5"/>
    <n v="5"/>
    <n v="53"/>
    <n v="11"/>
    <n v="1"/>
    <n v="97"/>
    <n v="13"/>
    <n v="43"/>
    <n v="103"/>
    <n v="108"/>
    <n v="595"/>
    <n v="676"/>
    <n v="4"/>
    <n v="1382"/>
    <n v="856"/>
    <n v="1"/>
    <n v="4"/>
    <n v="3"/>
    <n v="18894"/>
    <n v="61"/>
    <n v="2077"/>
    <n v="2898"/>
    <n v="1000"/>
    <n v="216"/>
    <n v="27367"/>
    <n v="38"/>
    <n v="1"/>
    <n v="491"/>
    <n v="0"/>
    <n v="32"/>
    <n v="14"/>
    <x v="7"/>
  </r>
  <r>
    <x v="14"/>
    <n v="15"/>
    <n v="19"/>
    <n v="43"/>
    <n v="53"/>
    <n v="6"/>
    <n v="579"/>
    <n v="182"/>
    <n v="14"/>
    <n v="8"/>
    <n v="2"/>
    <n v="1"/>
    <n v="35"/>
    <n v="8"/>
    <n v="3"/>
    <n v="78"/>
    <n v="10"/>
    <n v="59"/>
    <n v="108"/>
    <n v="101"/>
    <n v="601"/>
    <n v="736"/>
    <n v="15"/>
    <n v="1110"/>
    <n v="596"/>
    <n v="1"/>
    <n v="5"/>
    <n v="5"/>
    <n v="16087"/>
    <n v="131"/>
    <n v="1810"/>
    <n v="2424"/>
    <n v="787"/>
    <n v="190"/>
    <n v="24484"/>
    <n v="45"/>
    <n v="4"/>
    <n v="453"/>
    <n v="0"/>
    <n v="51"/>
    <n v="21"/>
    <x v="7"/>
  </r>
  <r>
    <x v="32"/>
    <n v="15"/>
    <n v="12"/>
    <n v="54"/>
    <n v="60"/>
    <n v="0"/>
    <n v="534"/>
    <n v="179"/>
    <n v="16"/>
    <n v="10"/>
    <n v="3"/>
    <n v="2"/>
    <n v="46"/>
    <n v="8"/>
    <n v="2"/>
    <n v="97"/>
    <n v="15"/>
    <n v="46"/>
    <n v="85"/>
    <n v="66"/>
    <n v="528"/>
    <n v="805"/>
    <n v="6"/>
    <n v="1201"/>
    <n v="638"/>
    <n v="1"/>
    <n v="3"/>
    <n v="3"/>
    <n v="19577"/>
    <n v="80"/>
    <n v="2401"/>
    <n v="3121"/>
    <n v="877"/>
    <n v="210"/>
    <n v="28030"/>
    <n v="37"/>
    <n v="1"/>
    <n v="522"/>
    <n v="0"/>
    <n v="50"/>
    <n v="18"/>
    <x v="7"/>
  </r>
  <r>
    <x v="33"/>
    <n v="13"/>
    <n v="19"/>
    <n v="33"/>
    <n v="58"/>
    <n v="2"/>
    <n v="414"/>
    <n v="143"/>
    <n v="9"/>
    <n v="6"/>
    <n v="5"/>
    <n v="1"/>
    <n v="28"/>
    <n v="5"/>
    <n v="2"/>
    <n v="71"/>
    <n v="12"/>
    <n v="48"/>
    <n v="119"/>
    <n v="139"/>
    <n v="695"/>
    <n v="845"/>
    <n v="7"/>
    <n v="1409"/>
    <n v="852"/>
    <n v="2"/>
    <n v="6"/>
    <n v="6"/>
    <n v="11792"/>
    <n v="19"/>
    <n v="1904"/>
    <n v="1752"/>
    <n v="706"/>
    <n v="172"/>
    <n v="20309"/>
    <n v="31"/>
    <n v="4"/>
    <n v="361"/>
    <n v="0"/>
    <n v="81"/>
    <n v="8"/>
    <x v="7"/>
  </r>
  <r>
    <x v="23"/>
    <n v="13"/>
    <n v="14"/>
    <n v="45"/>
    <n v="72"/>
    <n v="5"/>
    <n v="428"/>
    <n v="137"/>
    <n v="14"/>
    <n v="2"/>
    <n v="4"/>
    <n v="2"/>
    <n v="31"/>
    <n v="14"/>
    <n v="3"/>
    <n v="81"/>
    <n v="9"/>
    <n v="52"/>
    <n v="127"/>
    <n v="153"/>
    <n v="474"/>
    <n v="791"/>
    <n v="5"/>
    <n v="1090"/>
    <n v="604"/>
    <n v="1"/>
    <n v="7"/>
    <n v="5"/>
    <n v="15324"/>
    <n v="40"/>
    <n v="1970"/>
    <n v="2453"/>
    <n v="731"/>
    <n v="164"/>
    <n v="23324"/>
    <n v="36"/>
    <n v="2"/>
    <n v="469"/>
    <n v="2"/>
    <n v="84"/>
    <n v="17"/>
    <x v="7"/>
  </r>
  <r>
    <x v="30"/>
    <n v="11"/>
    <n v="18"/>
    <n v="54"/>
    <n v="55"/>
    <n v="3"/>
    <n v="496"/>
    <n v="161"/>
    <n v="7"/>
    <n v="9"/>
    <n v="4"/>
    <n v="0"/>
    <n v="45"/>
    <n v="9"/>
    <n v="0"/>
    <n v="76"/>
    <n v="8"/>
    <n v="54"/>
    <n v="96"/>
    <n v="117"/>
    <n v="644"/>
    <n v="674"/>
    <n v="7"/>
    <n v="1083"/>
    <n v="606"/>
    <n v="1"/>
    <n v="4"/>
    <n v="4"/>
    <n v="21113"/>
    <n v="49"/>
    <n v="2126"/>
    <n v="3312"/>
    <n v="902"/>
    <n v="226"/>
    <n v="29158"/>
    <n v="20"/>
    <n v="6"/>
    <n v="400"/>
    <n v="0"/>
    <n v="45"/>
    <n v="20"/>
    <x v="7"/>
  </r>
  <r>
    <x v="11"/>
    <n v="11"/>
    <n v="20"/>
    <n v="40"/>
    <n v="62"/>
    <n v="5"/>
    <n v="422"/>
    <n v="122"/>
    <n v="11"/>
    <n v="5"/>
    <n v="2"/>
    <n v="1"/>
    <n v="36"/>
    <n v="4"/>
    <n v="2"/>
    <n v="76"/>
    <n v="14"/>
    <n v="51"/>
    <n v="151"/>
    <n v="199"/>
    <n v="404"/>
    <n v="651"/>
    <n v="12"/>
    <n v="1401"/>
    <n v="820"/>
    <n v="1"/>
    <n v="6"/>
    <n v="6"/>
    <n v="12364"/>
    <n v="34"/>
    <n v="2061"/>
    <n v="2016"/>
    <n v="951"/>
    <n v="185"/>
    <n v="20511"/>
    <n v="33"/>
    <n v="8"/>
    <n v="371"/>
    <n v="0"/>
    <n v="54"/>
    <n v="9"/>
    <x v="7"/>
  </r>
  <r>
    <x v="12"/>
    <n v="10"/>
    <n v="20"/>
    <n v="39"/>
    <n v="78"/>
    <n v="0"/>
    <n v="431"/>
    <n v="135"/>
    <n v="11"/>
    <n v="10"/>
    <n v="2"/>
    <n v="3"/>
    <n v="33"/>
    <n v="6"/>
    <n v="4"/>
    <n v="84"/>
    <n v="9"/>
    <n v="61"/>
    <n v="110"/>
    <n v="126"/>
    <n v="460"/>
    <n v="747"/>
    <n v="4"/>
    <n v="1068"/>
    <n v="487"/>
    <n v="4"/>
    <n v="6"/>
    <n v="5"/>
    <n v="13856"/>
    <n v="30"/>
    <n v="2298"/>
    <n v="2231"/>
    <n v="749"/>
    <n v="163"/>
    <n v="21453"/>
    <n v="27"/>
    <n v="3"/>
    <n v="359"/>
    <n v="1"/>
    <n v="102"/>
    <n v="15"/>
    <x v="7"/>
  </r>
  <r>
    <x v="24"/>
    <n v="10"/>
    <n v="21"/>
    <n v="38"/>
    <n v="53"/>
    <n v="4"/>
    <n v="427"/>
    <n v="132"/>
    <n v="16"/>
    <n v="10"/>
    <n v="2"/>
    <n v="1"/>
    <n v="30"/>
    <n v="8"/>
    <n v="2"/>
    <n v="86"/>
    <n v="10"/>
    <n v="53"/>
    <n v="106"/>
    <n v="146"/>
    <n v="616"/>
    <n v="723"/>
    <n v="4"/>
    <n v="1048"/>
    <n v="588"/>
    <n v="2"/>
    <n v="4"/>
    <n v="3"/>
    <n v="15267"/>
    <n v="22"/>
    <n v="2181"/>
    <n v="2431"/>
    <n v="853"/>
    <n v="160"/>
    <n v="22985"/>
    <n v="31"/>
    <n v="6"/>
    <n v="413"/>
    <n v="1"/>
    <n v="24"/>
    <n v="24"/>
    <x v="7"/>
  </r>
  <r>
    <x v="20"/>
    <n v="10"/>
    <n v="20"/>
    <n v="41"/>
    <n v="69"/>
    <n v="7"/>
    <n v="491"/>
    <n v="138"/>
    <n v="10"/>
    <n v="7"/>
    <n v="6"/>
    <n v="1"/>
    <n v="37"/>
    <n v="4"/>
    <n v="4"/>
    <n v="70"/>
    <n v="11"/>
    <n v="60"/>
    <n v="160"/>
    <n v="144"/>
    <n v="414"/>
    <n v="702"/>
    <n v="2"/>
    <n v="903"/>
    <n v="510"/>
    <n v="6"/>
    <n v="2"/>
    <n v="2"/>
    <n v="14457"/>
    <n v="41"/>
    <n v="2092"/>
    <n v="2254"/>
    <n v="749"/>
    <n v="188"/>
    <n v="21922"/>
    <n v="29"/>
    <n v="3"/>
    <n v="411"/>
    <n v="0"/>
    <n v="71"/>
    <n v="20"/>
    <x v="7"/>
  </r>
  <r>
    <x v="18"/>
    <n v="9"/>
    <n v="24"/>
    <n v="40"/>
    <n v="58"/>
    <n v="1"/>
    <n v="431"/>
    <n v="149"/>
    <n v="11"/>
    <n v="7"/>
    <n v="2"/>
    <n v="1"/>
    <n v="31"/>
    <n v="9"/>
    <n v="1"/>
    <n v="86"/>
    <n v="5"/>
    <n v="85"/>
    <n v="154"/>
    <n v="182"/>
    <n v="499"/>
    <n v="702"/>
    <n v="4"/>
    <n v="1351"/>
    <n v="779"/>
    <n v="5"/>
    <n v="4"/>
    <n v="4"/>
    <n v="14674"/>
    <n v="32"/>
    <n v="2180"/>
    <n v="2329"/>
    <n v="708"/>
    <n v="194"/>
    <n v="22771"/>
    <n v="45"/>
    <n v="12"/>
    <n v="483"/>
    <n v="0"/>
    <n v="71"/>
    <n v="21"/>
    <x v="7"/>
  </r>
  <r>
    <x v="29"/>
    <n v="8"/>
    <n v="21"/>
    <n v="28"/>
    <n v="62"/>
    <n v="2"/>
    <n v="467"/>
    <n v="148"/>
    <n v="15"/>
    <n v="7"/>
    <n v="1"/>
    <n v="1"/>
    <n v="19"/>
    <n v="9"/>
    <n v="1"/>
    <n v="48"/>
    <n v="12"/>
    <n v="62"/>
    <n v="125"/>
    <n v="154"/>
    <n v="529"/>
    <n v="675"/>
    <n v="4"/>
    <n v="1071"/>
    <n v="472"/>
    <n v="3"/>
    <n v="4"/>
    <n v="4"/>
    <n v="14747"/>
    <n v="58"/>
    <n v="2105"/>
    <n v="2264"/>
    <n v="818"/>
    <n v="197"/>
    <n v="22570"/>
    <n v="37"/>
    <n v="10"/>
    <n v="489"/>
    <n v="0"/>
    <n v="72"/>
    <n v="11"/>
    <x v="7"/>
  </r>
  <r>
    <x v="34"/>
    <n v="7"/>
    <n v="22"/>
    <n v="32"/>
    <n v="49"/>
    <n v="1"/>
    <n v="418"/>
    <n v="124"/>
    <n v="10"/>
    <n v="9"/>
    <n v="1"/>
    <n v="0"/>
    <n v="28"/>
    <n v="4"/>
    <n v="0"/>
    <n v="81"/>
    <n v="7"/>
    <n v="74"/>
    <n v="157"/>
    <n v="178"/>
    <n v="491"/>
    <n v="619"/>
    <n v="4"/>
    <n v="1268"/>
    <n v="702"/>
    <n v="0"/>
    <n v="2"/>
    <n v="2"/>
    <n v="14007"/>
    <n v="35"/>
    <n v="2047"/>
    <n v="2195"/>
    <n v="792"/>
    <n v="196"/>
    <n v="22018"/>
    <n v="30"/>
    <n v="5"/>
    <n v="490"/>
    <n v="0"/>
    <n v="59"/>
    <n v="13"/>
    <x v="7"/>
  </r>
  <r>
    <x v="25"/>
    <n v="7"/>
    <n v="16"/>
    <n v="43"/>
    <n v="67"/>
    <n v="0"/>
    <n v="487"/>
    <n v="146"/>
    <n v="6"/>
    <n v="6"/>
    <n v="2"/>
    <n v="0"/>
    <n v="35"/>
    <n v="8"/>
    <n v="1"/>
    <n v="91"/>
    <n v="7"/>
    <n v="59"/>
    <n v="114"/>
    <n v="125"/>
    <n v="595"/>
    <n v="701"/>
    <n v="1"/>
    <n v="1176"/>
    <n v="712"/>
    <n v="2"/>
    <n v="7"/>
    <n v="5"/>
    <n v="14704"/>
    <n v="41"/>
    <n v="1942"/>
    <n v="2036"/>
    <n v="834"/>
    <n v="187"/>
    <n v="22866"/>
    <n v="35"/>
    <n v="0"/>
    <n v="514"/>
    <n v="2"/>
    <n v="65"/>
    <n v="14"/>
    <x v="7"/>
  </r>
  <r>
    <x v="1"/>
    <n v="26"/>
    <n v="3"/>
    <n v="73"/>
    <n v="73"/>
    <n v="4"/>
    <n v="564"/>
    <n v="210"/>
    <n v="15"/>
    <n v="10"/>
    <n v="4"/>
    <n v="1"/>
    <n v="66"/>
    <n v="7"/>
    <n v="1"/>
    <n v="75"/>
    <n v="17"/>
    <n v="32"/>
    <n v="90"/>
    <n v="102"/>
    <n v="376"/>
    <n v="759"/>
    <n v="2"/>
    <n v="1027"/>
    <n v="611"/>
    <n v="1"/>
    <n v="3"/>
    <n v="3"/>
    <n v="20268"/>
    <n v="73"/>
    <n v="2276"/>
    <n v="3259"/>
    <n v="682"/>
    <n v="226"/>
    <n v="27861"/>
    <n v="40"/>
    <n v="2"/>
    <n v="476"/>
    <n v="0"/>
    <n v="73"/>
    <n v="13"/>
    <x v="8"/>
  </r>
  <r>
    <x v="13"/>
    <n v="24"/>
    <n v="7"/>
    <n v="83"/>
    <n v="77"/>
    <n v="2"/>
    <n v="670"/>
    <n v="229"/>
    <n v="18"/>
    <n v="5"/>
    <n v="7"/>
    <n v="3"/>
    <n v="68"/>
    <n v="15"/>
    <n v="9"/>
    <n v="78"/>
    <n v="14"/>
    <n v="38"/>
    <n v="93"/>
    <n v="98"/>
    <n v="569"/>
    <n v="751"/>
    <n v="1"/>
    <n v="872"/>
    <n v="498"/>
    <n v="3"/>
    <n v="4"/>
    <n v="3"/>
    <n v="22107"/>
    <n v="115"/>
    <n v="1937"/>
    <n v="3140"/>
    <n v="795"/>
    <n v="277"/>
    <n v="29652"/>
    <n v="42"/>
    <n v="1"/>
    <n v="546"/>
    <n v="1"/>
    <n v="52"/>
    <n v="31"/>
    <x v="8"/>
  </r>
  <r>
    <x v="3"/>
    <n v="22"/>
    <n v="7"/>
    <n v="71"/>
    <n v="68"/>
    <n v="2"/>
    <n v="610"/>
    <n v="227"/>
    <n v="13"/>
    <n v="10"/>
    <n v="6"/>
    <n v="3"/>
    <n v="62"/>
    <n v="9"/>
    <n v="2"/>
    <n v="64"/>
    <n v="13"/>
    <n v="36"/>
    <n v="96"/>
    <n v="106"/>
    <n v="762"/>
    <n v="739"/>
    <n v="3"/>
    <n v="1006"/>
    <n v="565"/>
    <n v="1"/>
    <n v="3"/>
    <n v="3"/>
    <n v="20527"/>
    <n v="202"/>
    <n v="1749"/>
    <n v="2793"/>
    <n v="866"/>
    <n v="254"/>
    <n v="29045"/>
    <n v="51"/>
    <n v="2"/>
    <n v="476"/>
    <n v="0"/>
    <n v="76"/>
    <n v="13"/>
    <x v="8"/>
  </r>
  <r>
    <x v="0"/>
    <n v="20"/>
    <n v="8"/>
    <n v="62"/>
    <n v="64"/>
    <n v="5"/>
    <n v="512"/>
    <n v="180"/>
    <n v="11"/>
    <n v="12"/>
    <n v="3"/>
    <n v="2"/>
    <n v="55"/>
    <n v="7"/>
    <n v="2"/>
    <n v="87"/>
    <n v="11"/>
    <n v="37"/>
    <n v="100"/>
    <n v="96"/>
    <n v="679"/>
    <n v="739"/>
    <n v="4"/>
    <n v="1118"/>
    <n v="638"/>
    <n v="1"/>
    <n v="4"/>
    <n v="3"/>
    <n v="21311"/>
    <n v="89"/>
    <n v="2969"/>
    <n v="3457"/>
    <n v="908"/>
    <n v="214"/>
    <n v="29044"/>
    <n v="43"/>
    <n v="5"/>
    <n v="393"/>
    <n v="1"/>
    <n v="33"/>
    <n v="7"/>
    <x v="8"/>
  </r>
  <r>
    <x v="4"/>
    <n v="19"/>
    <n v="12"/>
    <n v="58"/>
    <n v="79"/>
    <n v="4"/>
    <n v="527"/>
    <n v="171"/>
    <n v="11"/>
    <n v="8"/>
    <n v="3"/>
    <n v="4"/>
    <n v="47"/>
    <n v="11"/>
    <n v="2"/>
    <n v="77"/>
    <n v="9"/>
    <n v="53"/>
    <n v="119"/>
    <n v="117"/>
    <n v="674"/>
    <n v="815"/>
    <n v="6"/>
    <n v="1047"/>
    <n v="636"/>
    <n v="2"/>
    <n v="7"/>
    <n v="5"/>
    <n v="19322"/>
    <n v="69"/>
    <n v="2357"/>
    <n v="2604"/>
    <n v="742"/>
    <n v="224"/>
    <n v="27495"/>
    <n v="39"/>
    <n v="1"/>
    <n v="552"/>
    <n v="1"/>
    <n v="51"/>
    <n v="28"/>
    <x v="8"/>
  </r>
  <r>
    <x v="2"/>
    <n v="18"/>
    <n v="12"/>
    <n v="52"/>
    <n v="66"/>
    <n v="3"/>
    <n v="590"/>
    <n v="192"/>
    <n v="12"/>
    <n v="5"/>
    <n v="5"/>
    <n v="1"/>
    <n v="44"/>
    <n v="8"/>
    <n v="2"/>
    <n v="75"/>
    <n v="14"/>
    <n v="48"/>
    <n v="93"/>
    <n v="105"/>
    <n v="442"/>
    <n v="798"/>
    <n v="9"/>
    <n v="1175"/>
    <n v="628"/>
    <n v="2"/>
    <n v="3"/>
    <n v="1"/>
    <n v="19374"/>
    <n v="103"/>
    <n v="2151"/>
    <n v="2787"/>
    <n v="638"/>
    <n v="198"/>
    <n v="27353"/>
    <n v="34"/>
    <n v="3"/>
    <n v="468"/>
    <n v="2"/>
    <n v="38"/>
    <n v="41"/>
    <x v="8"/>
  </r>
  <r>
    <x v="32"/>
    <n v="18"/>
    <n v="14"/>
    <n v="54"/>
    <n v="57"/>
    <n v="3"/>
    <n v="509"/>
    <n v="169"/>
    <n v="17"/>
    <n v="3"/>
    <n v="2"/>
    <n v="0"/>
    <n v="50"/>
    <n v="4"/>
    <n v="0"/>
    <n v="93"/>
    <n v="15"/>
    <n v="33"/>
    <n v="80"/>
    <n v="94"/>
    <n v="619"/>
    <n v="813"/>
    <n v="5"/>
    <n v="875"/>
    <n v="400"/>
    <n v="0"/>
    <n v="2"/>
    <n v="2"/>
    <n v="18184"/>
    <n v="38"/>
    <n v="2729"/>
    <n v="2850"/>
    <n v="952"/>
    <n v="208"/>
    <n v="25815"/>
    <n v="44"/>
    <n v="4"/>
    <n v="422"/>
    <n v="0"/>
    <n v="50"/>
    <n v="15"/>
    <x v="8"/>
  </r>
  <r>
    <x v="30"/>
    <n v="16"/>
    <n v="14"/>
    <n v="46"/>
    <n v="48"/>
    <n v="5"/>
    <n v="426"/>
    <n v="147"/>
    <n v="12"/>
    <n v="5"/>
    <n v="2"/>
    <n v="2"/>
    <n v="38"/>
    <n v="8"/>
    <n v="1"/>
    <n v="80"/>
    <n v="13"/>
    <n v="49"/>
    <n v="141"/>
    <n v="146"/>
    <n v="693"/>
    <n v="634"/>
    <n v="0"/>
    <n v="1203"/>
    <n v="646"/>
    <n v="1"/>
    <n v="2"/>
    <n v="2"/>
    <n v="17877"/>
    <n v="56"/>
    <n v="2291"/>
    <n v="2918"/>
    <n v="634"/>
    <n v="151"/>
    <n v="25645"/>
    <n v="35"/>
    <n v="3"/>
    <n v="363"/>
    <n v="0"/>
    <n v="91"/>
    <n v="31"/>
    <x v="8"/>
  </r>
  <r>
    <x v="23"/>
    <n v="15"/>
    <n v="14"/>
    <n v="48"/>
    <n v="82"/>
    <n v="1"/>
    <n v="500"/>
    <n v="136"/>
    <n v="9"/>
    <n v="14"/>
    <n v="3"/>
    <n v="0"/>
    <n v="41"/>
    <n v="7"/>
    <n v="1"/>
    <n v="75"/>
    <n v="9"/>
    <n v="45"/>
    <n v="96"/>
    <n v="134"/>
    <n v="496"/>
    <n v="729"/>
    <n v="8"/>
    <n v="1159"/>
    <n v="694"/>
    <n v="0"/>
    <n v="5"/>
    <n v="5"/>
    <n v="15386"/>
    <n v="12"/>
    <n v="2429"/>
    <n v="2317"/>
    <n v="887"/>
    <n v="195"/>
    <n v="23427"/>
    <n v="32"/>
    <n v="3"/>
    <n v="428"/>
    <n v="0"/>
    <n v="68"/>
    <n v="12"/>
    <x v="8"/>
  </r>
  <r>
    <x v="33"/>
    <n v="13"/>
    <n v="16"/>
    <n v="47"/>
    <n v="63"/>
    <n v="4"/>
    <n v="441"/>
    <n v="139"/>
    <n v="14"/>
    <n v="10"/>
    <n v="5"/>
    <n v="4"/>
    <n v="41"/>
    <n v="6"/>
    <n v="0"/>
    <n v="77"/>
    <n v="7"/>
    <n v="51"/>
    <n v="94"/>
    <n v="154"/>
    <n v="600"/>
    <n v="791"/>
    <n v="2"/>
    <n v="1270"/>
    <n v="779"/>
    <n v="0"/>
    <n v="6"/>
    <n v="4"/>
    <n v="12071"/>
    <n v="22"/>
    <n v="2609"/>
    <n v="1732"/>
    <n v="834"/>
    <n v="209"/>
    <n v="20386"/>
    <n v="25"/>
    <n v="7"/>
    <n v="325"/>
    <n v="2"/>
    <n v="77"/>
    <n v="9"/>
    <x v="8"/>
  </r>
  <r>
    <x v="8"/>
    <n v="12"/>
    <n v="15"/>
    <n v="48"/>
    <n v="66"/>
    <n v="2"/>
    <n v="483"/>
    <n v="166"/>
    <n v="11"/>
    <n v="10"/>
    <n v="4"/>
    <n v="1"/>
    <n v="40"/>
    <n v="8"/>
    <n v="5"/>
    <n v="83"/>
    <n v="10"/>
    <n v="50"/>
    <n v="80"/>
    <n v="167"/>
    <n v="444"/>
    <n v="657"/>
    <n v="8"/>
    <n v="1280"/>
    <n v="737"/>
    <n v="2"/>
    <n v="4"/>
    <n v="4"/>
    <n v="18809"/>
    <n v="64"/>
    <n v="2563"/>
    <n v="2908"/>
    <n v="690"/>
    <n v="194"/>
    <n v="26729"/>
    <n v="32"/>
    <n v="3"/>
    <n v="461"/>
    <n v="0"/>
    <n v="71"/>
    <n v="24"/>
    <x v="8"/>
  </r>
  <r>
    <x v="11"/>
    <n v="12"/>
    <n v="15"/>
    <n v="44"/>
    <n v="64"/>
    <n v="2"/>
    <n v="488"/>
    <n v="152"/>
    <n v="13"/>
    <n v="15"/>
    <n v="1"/>
    <n v="1"/>
    <n v="35"/>
    <n v="9"/>
    <n v="1"/>
    <n v="91"/>
    <n v="9"/>
    <n v="47"/>
    <n v="133"/>
    <n v="165"/>
    <n v="505"/>
    <n v="647"/>
    <n v="7"/>
    <n v="1474"/>
    <n v="835"/>
    <n v="2"/>
    <n v="5"/>
    <n v="2"/>
    <n v="13568"/>
    <n v="42"/>
    <n v="2548"/>
    <n v="2180"/>
    <n v="968"/>
    <n v="241"/>
    <n v="21793"/>
    <n v="37"/>
    <n v="3"/>
    <n v="404"/>
    <n v="3"/>
    <n v="52"/>
    <n v="15"/>
    <x v="8"/>
  </r>
  <r>
    <x v="35"/>
    <n v="11"/>
    <n v="19"/>
    <n v="46"/>
    <n v="49"/>
    <n v="4"/>
    <n v="456"/>
    <n v="137"/>
    <n v="12"/>
    <n v="7"/>
    <n v="3"/>
    <n v="0"/>
    <n v="38"/>
    <n v="8"/>
    <n v="3"/>
    <n v="60"/>
    <n v="10"/>
    <n v="55"/>
    <n v="124"/>
    <n v="161"/>
    <n v="750"/>
    <n v="791"/>
    <n v="5"/>
    <n v="1177"/>
    <n v="701"/>
    <n v="5"/>
    <n v="4"/>
    <n v="3"/>
    <n v="13343"/>
    <n v="22"/>
    <n v="2706"/>
    <n v="1985"/>
    <n v="912"/>
    <n v="211"/>
    <n v="21547"/>
    <n v="44"/>
    <n v="2"/>
    <n v="355"/>
    <n v="0"/>
    <n v="38"/>
    <n v="26"/>
    <x v="8"/>
  </r>
  <r>
    <x v="25"/>
    <n v="11"/>
    <n v="16"/>
    <n v="38"/>
    <n v="64"/>
    <n v="3"/>
    <n v="412"/>
    <n v="132"/>
    <n v="10"/>
    <n v="16"/>
    <n v="4"/>
    <n v="0"/>
    <n v="35"/>
    <n v="3"/>
    <n v="1"/>
    <n v="65"/>
    <n v="16"/>
    <n v="51"/>
    <n v="131"/>
    <n v="155"/>
    <n v="585"/>
    <n v="696"/>
    <n v="2"/>
    <n v="1084"/>
    <n v="597"/>
    <n v="0"/>
    <n v="7"/>
    <n v="5"/>
    <n v="14445"/>
    <n v="56"/>
    <n v="2732"/>
    <n v="2147"/>
    <n v="712"/>
    <n v="171"/>
    <n v="21820"/>
    <n v="25"/>
    <n v="4"/>
    <n v="507"/>
    <n v="1"/>
    <n v="76"/>
    <n v="13"/>
    <x v="8"/>
  </r>
  <r>
    <x v="12"/>
    <n v="10"/>
    <n v="20"/>
    <n v="31"/>
    <n v="70"/>
    <n v="7"/>
    <n v="418"/>
    <n v="125"/>
    <n v="5"/>
    <n v="7"/>
    <n v="1"/>
    <n v="1"/>
    <n v="28"/>
    <n v="3"/>
    <n v="2"/>
    <n v="70"/>
    <n v="10"/>
    <n v="57"/>
    <n v="112"/>
    <n v="135"/>
    <n v="487"/>
    <n v="623"/>
    <n v="6"/>
    <n v="1130"/>
    <n v="661"/>
    <n v="1"/>
    <n v="4"/>
    <n v="4"/>
    <n v="16527"/>
    <n v="14"/>
    <n v="2740"/>
    <n v="2575"/>
    <n v="766"/>
    <n v="171"/>
    <n v="23785"/>
    <n v="26"/>
    <n v="2"/>
    <n v="413"/>
    <n v="0"/>
    <n v="77"/>
    <n v="18"/>
    <x v="8"/>
  </r>
  <r>
    <x v="14"/>
    <n v="10"/>
    <n v="19"/>
    <n v="40"/>
    <n v="65"/>
    <n v="7"/>
    <n v="468"/>
    <n v="143"/>
    <n v="6"/>
    <n v="7"/>
    <n v="1"/>
    <n v="0"/>
    <n v="34"/>
    <n v="6"/>
    <n v="1"/>
    <n v="38"/>
    <n v="8"/>
    <n v="63"/>
    <n v="98"/>
    <n v="100"/>
    <n v="639"/>
    <n v="824"/>
    <n v="6"/>
    <n v="1020"/>
    <n v="569"/>
    <n v="1"/>
    <n v="4"/>
    <n v="4"/>
    <n v="15019"/>
    <n v="57"/>
    <n v="2378"/>
    <n v="2320"/>
    <n v="864"/>
    <n v="222"/>
    <n v="23375"/>
    <n v="34"/>
    <n v="3"/>
    <n v="466"/>
    <n v="0"/>
    <n v="53"/>
    <n v="21"/>
    <x v="8"/>
  </r>
  <r>
    <x v="24"/>
    <n v="8"/>
    <n v="19"/>
    <n v="33"/>
    <n v="73"/>
    <n v="6"/>
    <n v="428"/>
    <n v="131"/>
    <n v="11"/>
    <n v="10"/>
    <n v="1"/>
    <n v="0"/>
    <n v="30"/>
    <n v="3"/>
    <n v="2"/>
    <n v="72"/>
    <n v="10"/>
    <n v="51"/>
    <n v="102"/>
    <n v="158"/>
    <n v="607"/>
    <n v="763"/>
    <n v="2"/>
    <n v="1316"/>
    <n v="761"/>
    <n v="0"/>
    <n v="3"/>
    <n v="1"/>
    <n v="14864"/>
    <n v="21"/>
    <n v="2726"/>
    <n v="2237"/>
    <n v="804"/>
    <n v="169"/>
    <n v="22464"/>
    <n v="22"/>
    <n v="7"/>
    <n v="443"/>
    <n v="2"/>
    <n v="36"/>
    <n v="23"/>
    <x v="8"/>
  </r>
  <r>
    <x v="31"/>
    <n v="8"/>
    <n v="24"/>
    <n v="42"/>
    <n v="75"/>
    <n v="3"/>
    <n v="534"/>
    <n v="150"/>
    <n v="16"/>
    <n v="10"/>
    <n v="3"/>
    <n v="1"/>
    <n v="34"/>
    <n v="8"/>
    <n v="1"/>
    <n v="81"/>
    <n v="6"/>
    <n v="73"/>
    <n v="142"/>
    <n v="159"/>
    <n v="561"/>
    <n v="781"/>
    <n v="6"/>
    <n v="1445"/>
    <n v="884"/>
    <n v="4"/>
    <n v="4"/>
    <n v="2"/>
    <n v="13659"/>
    <n v="17"/>
    <n v="3004"/>
    <n v="1922"/>
    <n v="756"/>
    <n v="179"/>
    <n v="21907"/>
    <n v="39"/>
    <n v="6"/>
    <n v="468"/>
    <n v="2"/>
    <n v="57"/>
    <n v="20"/>
    <x v="8"/>
  </r>
  <r>
    <x v="27"/>
    <n v="7"/>
    <n v="19"/>
    <n v="28"/>
    <n v="64"/>
    <n v="2"/>
    <n v="430"/>
    <n v="125"/>
    <n v="13"/>
    <n v="8"/>
    <n v="1"/>
    <n v="1"/>
    <n v="24"/>
    <n v="4"/>
    <n v="0"/>
    <n v="64"/>
    <n v="10"/>
    <n v="53"/>
    <n v="128"/>
    <n v="180"/>
    <n v="568"/>
    <n v="615"/>
    <n v="3"/>
    <n v="1458"/>
    <n v="999"/>
    <n v="2"/>
    <n v="5"/>
    <n v="3"/>
    <n v="13632"/>
    <n v="17"/>
    <n v="3021"/>
    <n v="1891"/>
    <n v="783"/>
    <n v="171"/>
    <n v="21624"/>
    <n v="27"/>
    <n v="8"/>
    <n v="345"/>
    <n v="2"/>
    <n v="53"/>
    <n v="15"/>
    <x v="8"/>
  </r>
  <r>
    <x v="20"/>
    <n v="7"/>
    <n v="14"/>
    <n v="31"/>
    <n v="94"/>
    <n v="2"/>
    <n v="408"/>
    <n v="130"/>
    <n v="11"/>
    <n v="8"/>
    <n v="4"/>
    <n v="2"/>
    <n v="25"/>
    <n v="6"/>
    <n v="2"/>
    <n v="69"/>
    <n v="13"/>
    <n v="53"/>
    <n v="144"/>
    <n v="168"/>
    <n v="578"/>
    <n v="759"/>
    <n v="4"/>
    <n v="994"/>
    <n v="525"/>
    <n v="5"/>
    <n v="4"/>
    <n v="4"/>
    <n v="14451"/>
    <n v="40"/>
    <n v="2484"/>
    <n v="2290"/>
    <n v="687"/>
    <n v="186"/>
    <n v="22037"/>
    <n v="23"/>
    <n v="3"/>
    <n v="411"/>
    <n v="0"/>
    <n v="82"/>
    <n v="17"/>
    <x v="8"/>
  </r>
  <r>
    <x v="35"/>
    <n v="23"/>
    <n v="3"/>
    <n v="68"/>
    <n v="48"/>
    <n v="3"/>
    <n v="522"/>
    <n v="179"/>
    <n v="11"/>
    <n v="11"/>
    <n v="10"/>
    <n v="0"/>
    <n v="65"/>
    <n v="3"/>
    <n v="6"/>
    <n v="50"/>
    <n v="15"/>
    <n v="36"/>
    <n v="99"/>
    <n v="166"/>
    <n v="819"/>
    <n v="869"/>
    <n v="0"/>
    <n v="1040"/>
    <n v="552"/>
    <n v="0"/>
    <n v="4"/>
    <n v="4"/>
    <n v="13370"/>
    <n v="54"/>
    <n v="2695"/>
    <n v="1970"/>
    <n v="762"/>
    <n v="197"/>
    <n v="21710"/>
    <n v="61"/>
    <n v="7"/>
    <n v="366"/>
    <n v="0"/>
    <n v="49"/>
    <n v="22"/>
    <x v="9"/>
  </r>
  <r>
    <x v="3"/>
    <n v="20"/>
    <n v="7"/>
    <n v="65"/>
    <n v="40"/>
    <n v="4"/>
    <n v="571"/>
    <n v="211"/>
    <n v="21"/>
    <n v="13"/>
    <n v="1"/>
    <n v="1"/>
    <n v="61"/>
    <n v="4"/>
    <n v="3"/>
    <n v="86"/>
    <n v="18"/>
    <n v="36"/>
    <n v="118"/>
    <n v="128"/>
    <n v="734"/>
    <n v="709"/>
    <n v="4"/>
    <n v="849"/>
    <n v="418"/>
    <n v="3"/>
    <n v="1"/>
    <n v="1"/>
    <n v="21249"/>
    <n v="168"/>
    <n v="1859"/>
    <n v="2946"/>
    <n v="754"/>
    <n v="227"/>
    <n v="29337"/>
    <n v="69"/>
    <n v="3"/>
    <n v="511"/>
    <n v="0"/>
    <n v="45"/>
    <n v="20"/>
    <x v="9"/>
  </r>
  <r>
    <x v="13"/>
    <n v="19"/>
    <n v="10"/>
    <n v="71"/>
    <n v="61"/>
    <n v="0"/>
    <n v="615"/>
    <n v="210"/>
    <n v="15"/>
    <n v="13"/>
    <n v="5"/>
    <n v="0"/>
    <n v="57"/>
    <n v="14"/>
    <n v="5"/>
    <n v="63"/>
    <n v="16"/>
    <n v="41"/>
    <n v="86"/>
    <n v="66"/>
    <n v="630"/>
    <n v="729"/>
    <n v="3"/>
    <n v="940"/>
    <n v="513"/>
    <n v="1"/>
    <n v="1"/>
    <n v="1"/>
    <n v="20488"/>
    <n v="84"/>
    <n v="2082"/>
    <n v="2895"/>
    <n v="866"/>
    <n v="257"/>
    <n v="28396"/>
    <n v="50"/>
    <n v="2"/>
    <n v="556"/>
    <n v="0"/>
    <n v="38"/>
    <n v="41"/>
    <x v="9"/>
  </r>
  <r>
    <x v="0"/>
    <n v="19"/>
    <n v="10"/>
    <n v="49"/>
    <n v="65"/>
    <n v="1"/>
    <n v="430"/>
    <n v="144"/>
    <n v="9"/>
    <n v="5"/>
    <n v="3"/>
    <n v="1"/>
    <n v="44"/>
    <n v="5"/>
    <n v="2"/>
    <n v="75"/>
    <n v="18"/>
    <n v="35"/>
    <n v="90"/>
    <n v="96"/>
    <n v="594"/>
    <n v="760"/>
    <n v="4"/>
    <n v="755"/>
    <n v="373"/>
    <n v="2"/>
    <n v="2"/>
    <n v="2"/>
    <n v="20070"/>
    <n v="43"/>
    <n v="2649"/>
    <n v="3221"/>
    <n v="786"/>
    <n v="228"/>
    <n v="27542"/>
    <n v="28"/>
    <n v="4"/>
    <n v="522"/>
    <n v="0"/>
    <n v="29"/>
    <n v="13"/>
    <x v="9"/>
  </r>
  <r>
    <x v="4"/>
    <n v="19"/>
    <n v="6"/>
    <n v="69"/>
    <n v="72"/>
    <n v="0"/>
    <n v="659"/>
    <n v="252"/>
    <n v="19"/>
    <n v="7"/>
    <n v="5"/>
    <n v="2"/>
    <n v="59"/>
    <n v="10"/>
    <n v="3"/>
    <n v="72"/>
    <n v="13"/>
    <n v="35"/>
    <n v="89"/>
    <n v="140"/>
    <n v="645"/>
    <n v="805"/>
    <n v="1"/>
    <n v="1046"/>
    <n v="576"/>
    <n v="3"/>
    <n v="2"/>
    <n v="2"/>
    <n v="18649"/>
    <n v="64"/>
    <n v="2554"/>
    <n v="2708"/>
    <n v="738"/>
    <n v="254"/>
    <n v="27014"/>
    <n v="47"/>
    <n v="2"/>
    <n v="581"/>
    <n v="0"/>
    <n v="38"/>
    <n v="27"/>
    <x v="9"/>
  </r>
  <r>
    <x v="32"/>
    <n v="18"/>
    <n v="11"/>
    <n v="59"/>
    <n v="57"/>
    <n v="6"/>
    <n v="519"/>
    <n v="166"/>
    <n v="13"/>
    <n v="15"/>
    <n v="3"/>
    <n v="1"/>
    <n v="53"/>
    <n v="6"/>
    <n v="3"/>
    <n v="98"/>
    <n v="12"/>
    <n v="41"/>
    <n v="94"/>
    <n v="136"/>
    <n v="709"/>
    <n v="714"/>
    <n v="3"/>
    <n v="1101"/>
    <n v="515"/>
    <n v="0"/>
    <n v="1"/>
    <n v="1"/>
    <n v="15913"/>
    <n v="46"/>
    <n v="2509"/>
    <n v="2385"/>
    <n v="956"/>
    <n v="220"/>
    <n v="23716"/>
    <n v="43"/>
    <n v="6"/>
    <n v="425"/>
    <n v="0"/>
    <n v="36"/>
    <n v="12"/>
    <x v="9"/>
  </r>
  <r>
    <x v="2"/>
    <n v="16"/>
    <n v="10"/>
    <n v="63"/>
    <n v="61"/>
    <n v="3"/>
    <n v="629"/>
    <n v="202"/>
    <n v="16"/>
    <n v="12"/>
    <n v="2"/>
    <n v="1"/>
    <n v="48"/>
    <n v="15"/>
    <n v="1"/>
    <n v="91"/>
    <n v="11"/>
    <n v="50"/>
    <n v="81"/>
    <n v="108"/>
    <n v="549"/>
    <n v="871"/>
    <n v="4"/>
    <n v="871"/>
    <n v="407"/>
    <n v="1"/>
    <n v="3"/>
    <n v="2"/>
    <n v="19733"/>
    <n v="75"/>
    <n v="2370"/>
    <n v="2842"/>
    <n v="780"/>
    <n v="265"/>
    <n v="27890"/>
    <n v="36"/>
    <n v="2"/>
    <n v="560"/>
    <n v="1"/>
    <n v="41"/>
    <n v="18"/>
    <x v="9"/>
  </r>
  <r>
    <x v="11"/>
    <n v="16"/>
    <n v="8"/>
    <n v="65"/>
    <n v="58"/>
    <n v="5"/>
    <n v="558"/>
    <n v="185"/>
    <n v="19"/>
    <n v="15"/>
    <n v="4"/>
    <n v="4"/>
    <n v="55"/>
    <n v="10"/>
    <n v="2"/>
    <n v="82"/>
    <n v="11"/>
    <n v="51"/>
    <n v="111"/>
    <n v="162"/>
    <n v="668"/>
    <n v="711"/>
    <n v="1"/>
    <n v="1003"/>
    <n v="568"/>
    <n v="2"/>
    <n v="8"/>
    <n v="6"/>
    <n v="15031"/>
    <n v="32"/>
    <n v="2568"/>
    <n v="2236"/>
    <n v="805"/>
    <n v="224"/>
    <n v="23104"/>
    <n v="39"/>
    <n v="8"/>
    <n v="389"/>
    <n v="2"/>
    <n v="50"/>
    <n v="19"/>
    <x v="9"/>
  </r>
  <r>
    <x v="23"/>
    <n v="14"/>
    <n v="15"/>
    <n v="41"/>
    <n v="51"/>
    <n v="4"/>
    <n v="419"/>
    <n v="128"/>
    <n v="5"/>
    <n v="9"/>
    <n v="5"/>
    <n v="0"/>
    <n v="33"/>
    <n v="8"/>
    <n v="0"/>
    <n v="103"/>
    <n v="10"/>
    <n v="55"/>
    <n v="121"/>
    <n v="149"/>
    <n v="576"/>
    <n v="710"/>
    <n v="7"/>
    <n v="826"/>
    <n v="426"/>
    <n v="0"/>
    <n v="5"/>
    <n v="5"/>
    <n v="16342"/>
    <n v="60"/>
    <n v="2379"/>
    <n v="2440"/>
    <n v="683"/>
    <n v="153"/>
    <n v="23663"/>
    <n v="35"/>
    <n v="3"/>
    <n v="359"/>
    <n v="0"/>
    <n v="59"/>
    <n v="15"/>
    <x v="9"/>
  </r>
  <r>
    <x v="1"/>
    <n v="12"/>
    <n v="12"/>
    <n v="59"/>
    <n v="58"/>
    <n v="5"/>
    <n v="526"/>
    <n v="173"/>
    <n v="4"/>
    <n v="6"/>
    <n v="4"/>
    <n v="4"/>
    <n v="48"/>
    <n v="11"/>
    <n v="1"/>
    <n v="90"/>
    <n v="9"/>
    <n v="53"/>
    <n v="122"/>
    <n v="136"/>
    <n v="518"/>
    <n v="790"/>
    <n v="2"/>
    <n v="790"/>
    <n v="398"/>
    <n v="2"/>
    <n v="4"/>
    <n v="3"/>
    <n v="19664"/>
    <n v="74"/>
    <n v="2312"/>
    <n v="2933"/>
    <n v="732"/>
    <n v="240"/>
    <n v="27362"/>
    <n v="33"/>
    <n v="4"/>
    <n v="413"/>
    <n v="1"/>
    <n v="54"/>
    <n v="27"/>
    <x v="9"/>
  </r>
  <r>
    <x v="30"/>
    <n v="12"/>
    <n v="15"/>
    <n v="42"/>
    <n v="60"/>
    <n v="1"/>
    <n v="441"/>
    <n v="136"/>
    <n v="14"/>
    <n v="6"/>
    <n v="5"/>
    <n v="3"/>
    <n v="35"/>
    <n v="7"/>
    <n v="3"/>
    <n v="82"/>
    <n v="9"/>
    <n v="52"/>
    <n v="119"/>
    <n v="134"/>
    <n v="679"/>
    <n v="638"/>
    <n v="2"/>
    <n v="1058"/>
    <n v="559"/>
    <n v="5"/>
    <n v="2"/>
    <n v="2"/>
    <n v="18169"/>
    <n v="46"/>
    <n v="2416"/>
    <n v="2796"/>
    <n v="725"/>
    <n v="163"/>
    <n v="25989"/>
    <n v="31"/>
    <n v="2"/>
    <n v="465"/>
    <n v="0"/>
    <n v="85"/>
    <n v="34"/>
    <x v="9"/>
  </r>
  <r>
    <x v="19"/>
    <n v="12"/>
    <n v="17"/>
    <n v="40"/>
    <n v="73"/>
    <n v="3"/>
    <n v="446"/>
    <n v="140"/>
    <n v="9"/>
    <n v="5"/>
    <n v="6"/>
    <n v="1"/>
    <n v="37"/>
    <n v="3"/>
    <n v="0"/>
    <n v="52"/>
    <n v="11"/>
    <n v="50"/>
    <n v="121"/>
    <n v="111"/>
    <n v="764"/>
    <n v="794"/>
    <n v="1"/>
    <n v="931"/>
    <n v="394"/>
    <n v="2"/>
    <n v="8"/>
    <n v="4"/>
    <n v="14530"/>
    <n v="29"/>
    <n v="2939"/>
    <n v="2164"/>
    <n v="704"/>
    <n v="164"/>
    <n v="22363"/>
    <n v="31"/>
    <n v="2"/>
    <n v="391"/>
    <n v="3"/>
    <n v="67"/>
    <n v="66"/>
    <x v="9"/>
  </r>
  <r>
    <x v="36"/>
    <n v="11"/>
    <n v="18"/>
    <n v="45"/>
    <n v="53"/>
    <n v="1"/>
    <n v="464"/>
    <n v="143"/>
    <n v="8"/>
    <n v="11"/>
    <n v="3"/>
    <n v="0"/>
    <n v="39"/>
    <n v="6"/>
    <n v="0"/>
    <n v="66"/>
    <n v="7"/>
    <n v="67"/>
    <n v="90"/>
    <n v="106"/>
    <n v="640"/>
    <n v="709"/>
    <n v="1"/>
    <n v="951"/>
    <n v="526"/>
    <n v="0"/>
    <n v="6"/>
    <n v="4"/>
    <n v="17270"/>
    <n v="33"/>
    <n v="2484"/>
    <n v="2541"/>
    <n v="749"/>
    <n v="221"/>
    <n v="25291"/>
    <n v="25"/>
    <n v="2"/>
    <n v="410"/>
    <n v="2"/>
    <n v="58"/>
    <n v="12"/>
    <x v="9"/>
  </r>
  <r>
    <x v="33"/>
    <n v="11"/>
    <n v="18"/>
    <n v="39"/>
    <n v="60"/>
    <n v="2"/>
    <n v="469"/>
    <n v="153"/>
    <n v="12"/>
    <n v="7"/>
    <n v="4"/>
    <n v="1"/>
    <n v="33"/>
    <n v="6"/>
    <n v="0"/>
    <n v="81"/>
    <n v="8"/>
    <n v="51"/>
    <n v="122"/>
    <n v="176"/>
    <n v="698"/>
    <n v="649"/>
    <n v="3"/>
    <n v="963"/>
    <n v="506"/>
    <n v="4"/>
    <n v="4"/>
    <n v="4"/>
    <n v="13785"/>
    <n v="16"/>
    <n v="2759"/>
    <n v="2185"/>
    <n v="969"/>
    <n v="219"/>
    <n v="21861"/>
    <n v="36"/>
    <n v="4"/>
    <n v="467"/>
    <n v="0"/>
    <n v="43"/>
    <n v="5"/>
    <x v="9"/>
  </r>
  <r>
    <x v="8"/>
    <n v="11"/>
    <n v="13"/>
    <n v="59"/>
    <n v="44"/>
    <n v="5"/>
    <n v="491"/>
    <n v="175"/>
    <n v="18"/>
    <n v="10"/>
    <n v="4"/>
    <n v="0"/>
    <n v="53"/>
    <n v="6"/>
    <n v="2"/>
    <n v="55"/>
    <n v="10"/>
    <n v="55"/>
    <n v="127"/>
    <n v="160"/>
    <n v="511"/>
    <n v="730"/>
    <n v="3"/>
    <n v="994"/>
    <n v="489"/>
    <n v="1"/>
    <n v="6"/>
    <n v="5"/>
    <n v="17947"/>
    <n v="57"/>
    <n v="2742"/>
    <n v="2699"/>
    <n v="782"/>
    <n v="218"/>
    <n v="25741"/>
    <n v="49"/>
    <n v="4"/>
    <n v="453"/>
    <n v="0"/>
    <n v="53"/>
    <n v="14"/>
    <x v="9"/>
  </r>
  <r>
    <x v="25"/>
    <n v="10"/>
    <n v="15"/>
    <n v="34"/>
    <n v="65"/>
    <n v="3"/>
    <n v="388"/>
    <n v="107"/>
    <n v="10"/>
    <n v="12"/>
    <n v="1"/>
    <n v="1"/>
    <n v="31"/>
    <n v="3"/>
    <n v="0"/>
    <n v="68"/>
    <n v="11"/>
    <n v="48"/>
    <n v="109"/>
    <n v="172"/>
    <n v="721"/>
    <n v="642"/>
    <n v="4"/>
    <n v="992"/>
    <n v="547"/>
    <n v="3"/>
    <n v="6"/>
    <n v="5"/>
    <n v="12262"/>
    <n v="29"/>
    <n v="2661"/>
    <n v="1638"/>
    <n v="847"/>
    <n v="188"/>
    <n v="19822"/>
    <n v="28"/>
    <n v="5"/>
    <n v="480"/>
    <n v="0"/>
    <n v="54"/>
    <n v="14"/>
    <x v="9"/>
  </r>
  <r>
    <x v="14"/>
    <n v="9"/>
    <n v="19"/>
    <n v="44"/>
    <n v="60"/>
    <n v="5"/>
    <n v="397"/>
    <n v="151"/>
    <n v="6"/>
    <n v="12"/>
    <n v="3"/>
    <n v="1"/>
    <n v="38"/>
    <n v="6"/>
    <n v="4"/>
    <n v="59"/>
    <n v="8"/>
    <n v="65"/>
    <n v="115"/>
    <n v="155"/>
    <n v="646"/>
    <n v="793"/>
    <n v="4"/>
    <n v="939"/>
    <n v="486"/>
    <n v="2"/>
    <n v="5"/>
    <n v="4"/>
    <n v="15118"/>
    <n v="28"/>
    <n v="2578"/>
    <n v="2357"/>
    <n v="775"/>
    <n v="161"/>
    <n v="22993"/>
    <n v="26"/>
    <n v="2"/>
    <n v="435"/>
    <n v="1"/>
    <n v="70"/>
    <n v="31"/>
    <x v="9"/>
  </r>
  <r>
    <x v="29"/>
    <n v="9"/>
    <n v="22"/>
    <n v="39"/>
    <n v="61"/>
    <n v="3"/>
    <n v="418"/>
    <n v="129"/>
    <n v="11"/>
    <n v="3"/>
    <n v="1"/>
    <n v="0"/>
    <n v="33"/>
    <n v="6"/>
    <n v="0"/>
    <n v="93"/>
    <n v="5"/>
    <n v="67"/>
    <n v="103"/>
    <n v="108"/>
    <n v="473"/>
    <n v="608"/>
    <n v="3"/>
    <n v="1212"/>
    <n v="708"/>
    <n v="2"/>
    <n v="10"/>
    <n v="9"/>
    <n v="14483"/>
    <n v="17"/>
    <n v="2722"/>
    <n v="2124"/>
    <n v="818"/>
    <n v="188"/>
    <n v="21936"/>
    <n v="30"/>
    <n v="4"/>
    <n v="426"/>
    <n v="0"/>
    <n v="63"/>
    <n v="20"/>
    <x v="9"/>
  </r>
  <r>
    <x v="20"/>
    <n v="9"/>
    <n v="17"/>
    <n v="48"/>
    <n v="64"/>
    <n v="2"/>
    <n v="439"/>
    <n v="141"/>
    <n v="10"/>
    <n v="2"/>
    <n v="3"/>
    <n v="4"/>
    <n v="40"/>
    <n v="8"/>
    <n v="2"/>
    <n v="88"/>
    <n v="7"/>
    <n v="62"/>
    <n v="156"/>
    <n v="144"/>
    <n v="571"/>
    <n v="767"/>
    <n v="4"/>
    <n v="1277"/>
    <n v="616"/>
    <n v="1"/>
    <n v="8"/>
    <n v="7"/>
    <n v="12799"/>
    <n v="57"/>
    <n v="2635"/>
    <n v="1841"/>
    <n v="589"/>
    <n v="153"/>
    <n v="20339"/>
    <n v="29"/>
    <n v="7"/>
    <n v="376"/>
    <n v="0"/>
    <n v="64"/>
    <n v="19"/>
    <x v="9"/>
  </r>
  <r>
    <x v="12"/>
    <n v="3"/>
    <n v="27"/>
    <n v="27"/>
    <n v="75"/>
    <n v="3"/>
    <n v="380"/>
    <n v="110"/>
    <n v="7"/>
    <n v="6"/>
    <n v="2"/>
    <n v="0"/>
    <n v="21"/>
    <n v="6"/>
    <n v="1"/>
    <n v="42"/>
    <n v="6"/>
    <n v="76"/>
    <n v="116"/>
    <n v="111"/>
    <n v="768"/>
    <n v="731"/>
    <n v="2"/>
    <n v="973"/>
    <n v="499"/>
    <n v="4"/>
    <n v="5"/>
    <n v="3"/>
    <n v="15308"/>
    <n v="12"/>
    <n v="2507"/>
    <n v="2269"/>
    <n v="796"/>
    <n v="167"/>
    <n v="23234"/>
    <n v="20"/>
    <n v="5"/>
    <n v="338"/>
    <n v="1"/>
    <n v="66"/>
    <n v="28"/>
    <x v="9"/>
  </r>
  <r>
    <x v="1"/>
    <n v="30"/>
    <n v="5"/>
    <n v="85"/>
    <n v="72"/>
    <n v="0"/>
    <n v="580"/>
    <n v="204"/>
    <n v="17"/>
    <n v="8"/>
    <n v="2"/>
    <n v="3"/>
    <n v="73"/>
    <n v="12"/>
    <n v="7"/>
    <n v="64"/>
    <n v="16"/>
    <n v="33"/>
    <n v="69"/>
    <n v="78"/>
    <n v="510"/>
    <n v="652"/>
    <n v="0"/>
    <n v="839"/>
    <n v="500"/>
    <n v="1"/>
    <n v="2"/>
    <n v="2"/>
    <n v="20125"/>
    <n v="103"/>
    <n v="2399"/>
    <n v="2967"/>
    <n v="688"/>
    <n v="218"/>
    <n v="27658"/>
    <n v="32"/>
    <n v="3"/>
    <n v="436"/>
    <n v="0"/>
    <n v="38"/>
    <n v="18"/>
    <x v="10"/>
  </r>
  <r>
    <x v="4"/>
    <n v="26"/>
    <n v="4"/>
    <n v="86"/>
    <n v="62"/>
    <n v="0"/>
    <n v="669"/>
    <n v="257"/>
    <n v="22"/>
    <n v="10"/>
    <n v="7"/>
    <n v="0"/>
    <n v="74"/>
    <n v="12"/>
    <n v="3"/>
    <n v="74"/>
    <n v="17"/>
    <n v="26"/>
    <n v="85"/>
    <n v="99"/>
    <n v="314"/>
    <n v="661"/>
    <n v="1"/>
    <n v="1003"/>
    <n v="526"/>
    <n v="1"/>
    <n v="2"/>
    <n v="2"/>
    <n v="20150"/>
    <n v="45"/>
    <n v="2662"/>
    <n v="3130"/>
    <n v="761"/>
    <n v="273"/>
    <n v="28150"/>
    <n v="41"/>
    <n v="1"/>
    <n v="484"/>
    <n v="0"/>
    <n v="21"/>
    <n v="11"/>
    <x v="10"/>
  </r>
  <r>
    <x v="3"/>
    <n v="23"/>
    <n v="9"/>
    <n v="77"/>
    <n v="68"/>
    <n v="3"/>
    <n v="566"/>
    <n v="201"/>
    <n v="17"/>
    <n v="17"/>
    <n v="4"/>
    <n v="2"/>
    <n v="70"/>
    <n v="7"/>
    <n v="2"/>
    <n v="95"/>
    <n v="13"/>
    <n v="44"/>
    <n v="124"/>
    <n v="95"/>
    <n v="536"/>
    <n v="673"/>
    <n v="5"/>
    <n v="838"/>
    <n v="484"/>
    <n v="1"/>
    <n v="10"/>
    <n v="10"/>
    <n v="21394"/>
    <n v="129"/>
    <n v="1979"/>
    <n v="2835"/>
    <n v="697"/>
    <n v="227"/>
    <n v="28931"/>
    <n v="41"/>
    <n v="1"/>
    <n v="465"/>
    <n v="0"/>
    <n v="36"/>
    <n v="10"/>
    <x v="10"/>
  </r>
  <r>
    <x v="13"/>
    <n v="23"/>
    <n v="6"/>
    <n v="80"/>
    <n v="71"/>
    <n v="4"/>
    <n v="633"/>
    <n v="216"/>
    <n v="20"/>
    <n v="8"/>
    <n v="7"/>
    <n v="2"/>
    <n v="73"/>
    <n v="7"/>
    <n v="6"/>
    <n v="89"/>
    <n v="12"/>
    <n v="39"/>
    <n v="64"/>
    <n v="66"/>
    <n v="504"/>
    <n v="643"/>
    <n v="0"/>
    <n v="905"/>
    <n v="544"/>
    <n v="1"/>
    <n v="5"/>
    <n v="2"/>
    <n v="22706"/>
    <n v="124"/>
    <n v="1997"/>
    <n v="3534"/>
    <n v="801"/>
    <n v="280"/>
    <n v="30363"/>
    <n v="48"/>
    <n v="4"/>
    <n v="465"/>
    <n v="2"/>
    <n v="26"/>
    <n v="20"/>
    <x v="10"/>
  </r>
  <r>
    <x v="2"/>
    <n v="22"/>
    <n v="6"/>
    <n v="78"/>
    <n v="54"/>
    <n v="0"/>
    <n v="640"/>
    <n v="236"/>
    <n v="18"/>
    <n v="12"/>
    <n v="7"/>
    <n v="3"/>
    <n v="65"/>
    <n v="13"/>
    <n v="3"/>
    <n v="77"/>
    <n v="12"/>
    <n v="42"/>
    <n v="73"/>
    <n v="65"/>
    <n v="410"/>
    <n v="719"/>
    <n v="2"/>
    <n v="877"/>
    <n v="451"/>
    <n v="0"/>
    <n v="5"/>
    <n v="3"/>
    <n v="22290"/>
    <n v="57"/>
    <n v="2565"/>
    <n v="3291"/>
    <n v="812"/>
    <n v="249"/>
    <n v="30071"/>
    <n v="35"/>
    <n v="0"/>
    <n v="472"/>
    <n v="2"/>
    <n v="36"/>
    <n v="26"/>
    <x v="10"/>
  </r>
  <r>
    <x v="0"/>
    <n v="18"/>
    <n v="5"/>
    <n v="54"/>
    <n v="78"/>
    <n v="2"/>
    <n v="591"/>
    <n v="210"/>
    <n v="19"/>
    <n v="9"/>
    <n v="3"/>
    <n v="1"/>
    <n v="47"/>
    <n v="7"/>
    <n v="5"/>
    <n v="99"/>
    <n v="17"/>
    <n v="29"/>
    <n v="85"/>
    <n v="99"/>
    <n v="584"/>
    <n v="690"/>
    <n v="4"/>
    <n v="1112"/>
    <n v="580"/>
    <n v="1"/>
    <n v="5"/>
    <n v="4"/>
    <n v="20245"/>
    <n v="99"/>
    <n v="2424"/>
    <n v="3177"/>
    <n v="848"/>
    <n v="217"/>
    <n v="28119"/>
    <n v="50"/>
    <n v="1"/>
    <n v="389"/>
    <n v="1"/>
    <n v="32"/>
    <n v="4"/>
    <x v="10"/>
  </r>
  <r>
    <x v="8"/>
    <n v="17"/>
    <n v="11"/>
    <n v="62"/>
    <n v="72"/>
    <n v="2"/>
    <n v="502"/>
    <n v="191"/>
    <n v="12"/>
    <n v="13"/>
    <n v="3"/>
    <n v="2"/>
    <n v="59"/>
    <n v="3"/>
    <n v="2"/>
    <n v="82"/>
    <n v="13"/>
    <n v="44"/>
    <n v="96"/>
    <n v="149"/>
    <n v="461"/>
    <n v="712"/>
    <n v="6"/>
    <n v="1118"/>
    <n v="628"/>
    <n v="1"/>
    <n v="6"/>
    <n v="3"/>
    <n v="17586"/>
    <n v="38"/>
    <n v="2968"/>
    <n v="2744"/>
    <n v="767"/>
    <n v="196"/>
    <n v="25309"/>
    <n v="28"/>
    <n v="9"/>
    <n v="469"/>
    <n v="2"/>
    <n v="56"/>
    <n v="19"/>
    <x v="10"/>
  </r>
  <r>
    <x v="36"/>
    <n v="12"/>
    <n v="16"/>
    <n v="55"/>
    <n v="52"/>
    <n v="3"/>
    <n v="452"/>
    <n v="160"/>
    <n v="19"/>
    <n v="5"/>
    <n v="7"/>
    <n v="0"/>
    <n v="51"/>
    <n v="5"/>
    <n v="2"/>
    <n v="53"/>
    <n v="10"/>
    <n v="67"/>
    <n v="123"/>
    <n v="150"/>
    <n v="460"/>
    <n v="604"/>
    <n v="1"/>
    <n v="1092"/>
    <n v="616"/>
    <n v="5"/>
    <n v="5"/>
    <n v="2"/>
    <n v="17152"/>
    <n v="51"/>
    <n v="2461"/>
    <n v="2651"/>
    <n v="628"/>
    <n v="193"/>
    <n v="24801"/>
    <n v="31"/>
    <n v="4"/>
    <n v="439"/>
    <n v="2"/>
    <n v="36"/>
    <n v="21"/>
    <x v="10"/>
  </r>
  <r>
    <x v="33"/>
    <n v="12"/>
    <n v="21"/>
    <n v="50"/>
    <n v="77"/>
    <n v="0"/>
    <n v="439"/>
    <n v="138"/>
    <n v="8"/>
    <n v="13"/>
    <n v="4"/>
    <n v="0"/>
    <n v="48"/>
    <n v="2"/>
    <n v="0"/>
    <n v="55"/>
    <n v="7"/>
    <n v="63"/>
    <n v="108"/>
    <n v="125"/>
    <n v="553"/>
    <n v="699"/>
    <n v="4"/>
    <n v="1022"/>
    <n v="557"/>
    <n v="0"/>
    <n v="2"/>
    <n v="2"/>
    <n v="13542"/>
    <n v="20"/>
    <n v="2729"/>
    <n v="2108"/>
    <n v="872"/>
    <n v="203"/>
    <n v="21533"/>
    <n v="27"/>
    <n v="7"/>
    <n v="496"/>
    <n v="0"/>
    <n v="56"/>
    <n v="12"/>
    <x v="10"/>
  </r>
  <r>
    <x v="35"/>
    <n v="12"/>
    <n v="18"/>
    <n v="48"/>
    <n v="72"/>
    <n v="1"/>
    <n v="433"/>
    <n v="145"/>
    <n v="8"/>
    <n v="10"/>
    <n v="4"/>
    <n v="1"/>
    <n v="39"/>
    <n v="9"/>
    <n v="4"/>
    <n v="65"/>
    <n v="9"/>
    <n v="63"/>
    <n v="131"/>
    <n v="141"/>
    <n v="538"/>
    <n v="677"/>
    <n v="3"/>
    <n v="1025"/>
    <n v="567"/>
    <n v="2"/>
    <n v="4"/>
    <n v="4"/>
    <n v="13671"/>
    <n v="25"/>
    <n v="2792"/>
    <n v="1916"/>
    <n v="731"/>
    <n v="197"/>
    <n v="21051"/>
    <n v="29"/>
    <n v="2"/>
    <n v="310"/>
    <n v="0"/>
    <n v="45"/>
    <n v="16"/>
    <x v="10"/>
  </r>
  <r>
    <x v="32"/>
    <n v="12"/>
    <n v="16"/>
    <n v="41"/>
    <n v="59"/>
    <n v="2"/>
    <n v="550"/>
    <n v="179"/>
    <n v="12"/>
    <n v="4"/>
    <n v="3"/>
    <n v="0"/>
    <n v="37"/>
    <n v="4"/>
    <n v="0"/>
    <n v="73"/>
    <n v="14"/>
    <n v="48"/>
    <n v="76"/>
    <n v="128"/>
    <n v="514"/>
    <n v="675"/>
    <n v="1"/>
    <n v="914"/>
    <n v="505"/>
    <n v="1"/>
    <n v="9"/>
    <n v="6"/>
    <n v="18245"/>
    <n v="57"/>
    <n v="2336"/>
    <n v="2784"/>
    <n v="947"/>
    <n v="198"/>
    <n v="25881"/>
    <n v="34"/>
    <n v="4"/>
    <n v="455"/>
    <n v="1"/>
    <n v="26"/>
    <n v="12"/>
    <x v="10"/>
  </r>
  <r>
    <x v="30"/>
    <n v="12"/>
    <n v="21"/>
    <n v="45"/>
    <n v="56"/>
    <n v="0"/>
    <n v="405"/>
    <n v="145"/>
    <n v="10"/>
    <n v="15"/>
    <n v="3"/>
    <n v="2"/>
    <n v="40"/>
    <n v="5"/>
    <n v="1"/>
    <n v="49"/>
    <n v="8"/>
    <n v="70"/>
    <n v="121"/>
    <n v="136"/>
    <n v="459"/>
    <n v="635"/>
    <n v="1"/>
    <n v="1037"/>
    <n v="539"/>
    <n v="5"/>
    <n v="9"/>
    <n v="6"/>
    <n v="16131"/>
    <n v="15"/>
    <n v="2579"/>
    <n v="2495"/>
    <n v="864"/>
    <n v="196"/>
    <n v="23728"/>
    <n v="25"/>
    <n v="2"/>
    <n v="446"/>
    <n v="1"/>
    <n v="72"/>
    <n v="16"/>
    <x v="10"/>
  </r>
  <r>
    <x v="25"/>
    <n v="12"/>
    <n v="17"/>
    <n v="43"/>
    <n v="80"/>
    <n v="0"/>
    <n v="399"/>
    <n v="123"/>
    <n v="11"/>
    <n v="16"/>
    <n v="1"/>
    <n v="1"/>
    <n v="37"/>
    <n v="6"/>
    <n v="3"/>
    <n v="59"/>
    <n v="6"/>
    <n v="51"/>
    <n v="116"/>
    <n v="150"/>
    <n v="537"/>
    <n v="605"/>
    <n v="0"/>
    <n v="999"/>
    <n v="577"/>
    <n v="1"/>
    <n v="3"/>
    <n v="3"/>
    <n v="11825"/>
    <n v="37"/>
    <n v="2653"/>
    <n v="1798"/>
    <n v="766"/>
    <n v="159"/>
    <n v="19042"/>
    <n v="24"/>
    <n v="3"/>
    <n v="445"/>
    <n v="0"/>
    <n v="53"/>
    <n v="10"/>
    <x v="10"/>
  </r>
  <r>
    <x v="11"/>
    <n v="12"/>
    <n v="17"/>
    <n v="47"/>
    <n v="78"/>
    <n v="5"/>
    <n v="499"/>
    <n v="138"/>
    <n v="14"/>
    <n v="14"/>
    <n v="3"/>
    <n v="3"/>
    <n v="41"/>
    <n v="6"/>
    <n v="3"/>
    <n v="74"/>
    <n v="10"/>
    <n v="64"/>
    <n v="117"/>
    <n v="112"/>
    <n v="614"/>
    <n v="574"/>
    <n v="4"/>
    <n v="1074"/>
    <n v="625"/>
    <n v="0"/>
    <n v="8"/>
    <n v="5"/>
    <n v="15127"/>
    <n v="37"/>
    <n v="2622"/>
    <n v="2312"/>
    <n v="752"/>
    <n v="172"/>
    <n v="22666"/>
    <n v="24"/>
    <n v="3"/>
    <n v="367"/>
    <n v="1"/>
    <n v="47"/>
    <n v="11"/>
    <x v="10"/>
  </r>
  <r>
    <x v="27"/>
    <n v="11"/>
    <n v="20"/>
    <n v="39"/>
    <n v="65"/>
    <n v="2"/>
    <n v="391"/>
    <n v="120"/>
    <n v="5"/>
    <n v="4"/>
    <n v="6"/>
    <n v="3"/>
    <n v="31"/>
    <n v="8"/>
    <n v="2"/>
    <n v="101"/>
    <n v="10"/>
    <n v="55"/>
    <n v="151"/>
    <n v="221"/>
    <n v="539"/>
    <n v="638"/>
    <n v="2"/>
    <n v="1233"/>
    <n v="698"/>
    <n v="2"/>
    <n v="5"/>
    <n v="4"/>
    <n v="12558"/>
    <n v="21"/>
    <n v="3176"/>
    <n v="1888"/>
    <n v="650"/>
    <n v="149"/>
    <n v="19776"/>
    <n v="18"/>
    <n v="6"/>
    <n v="334"/>
    <n v="1"/>
    <n v="29"/>
    <n v="14"/>
    <x v="10"/>
  </r>
  <r>
    <x v="23"/>
    <n v="11"/>
    <n v="16"/>
    <n v="41"/>
    <n v="70"/>
    <n v="2"/>
    <n v="425"/>
    <n v="137"/>
    <n v="14"/>
    <n v="7"/>
    <n v="4"/>
    <n v="2"/>
    <n v="36"/>
    <n v="5"/>
    <n v="0"/>
    <n v="85"/>
    <n v="11"/>
    <n v="56"/>
    <n v="127"/>
    <n v="159"/>
    <n v="497"/>
    <n v="666"/>
    <n v="3"/>
    <n v="1009"/>
    <n v="505"/>
    <n v="5"/>
    <n v="3"/>
    <n v="1"/>
    <n v="14558"/>
    <n v="54"/>
    <n v="2507"/>
    <n v="2170"/>
    <n v="718"/>
    <n v="188"/>
    <n v="22087"/>
    <n v="41"/>
    <n v="5"/>
    <n v="415"/>
    <n v="1"/>
    <n v="40"/>
    <n v="23"/>
    <x v="10"/>
  </r>
  <r>
    <x v="19"/>
    <n v="11"/>
    <n v="20"/>
    <n v="40"/>
    <n v="84"/>
    <n v="5"/>
    <n v="422"/>
    <n v="143"/>
    <n v="7"/>
    <n v="9"/>
    <n v="3"/>
    <n v="0"/>
    <n v="36"/>
    <n v="4"/>
    <n v="0"/>
    <n v="61"/>
    <n v="7"/>
    <n v="68"/>
    <n v="121"/>
    <n v="140"/>
    <n v="512"/>
    <n v="618"/>
    <n v="0"/>
    <n v="1016"/>
    <n v="494"/>
    <n v="2"/>
    <n v="4"/>
    <n v="3"/>
    <n v="14049"/>
    <n v="22"/>
    <n v="2600"/>
    <n v="2200"/>
    <n v="686"/>
    <n v="164"/>
    <n v="21547"/>
    <n v="25"/>
    <n v="3"/>
    <n v="390"/>
    <n v="1"/>
    <n v="53"/>
    <n v="35"/>
    <x v="10"/>
  </r>
  <r>
    <x v="24"/>
    <n v="9"/>
    <n v="22"/>
    <n v="37"/>
    <n v="67"/>
    <n v="5"/>
    <n v="397"/>
    <n v="126"/>
    <n v="10"/>
    <n v="5"/>
    <n v="3"/>
    <n v="2"/>
    <n v="33"/>
    <n v="4"/>
    <n v="3"/>
    <n v="71"/>
    <n v="5"/>
    <n v="80"/>
    <n v="137"/>
    <n v="184"/>
    <n v="573"/>
    <n v="631"/>
    <n v="3"/>
    <n v="1101"/>
    <n v="600"/>
    <n v="5"/>
    <n v="13"/>
    <n v="11"/>
    <n v="15596"/>
    <n v="41"/>
    <n v="2650"/>
    <n v="2487"/>
    <n v="739"/>
    <n v="179"/>
    <n v="22779"/>
    <n v="18"/>
    <n v="6"/>
    <n v="399"/>
    <n v="2"/>
    <n v="40"/>
    <n v="18"/>
    <x v="10"/>
  </r>
  <r>
    <x v="20"/>
    <n v="6"/>
    <n v="26"/>
    <n v="29"/>
    <n v="78"/>
    <n v="4"/>
    <n v="387"/>
    <n v="119"/>
    <n v="4"/>
    <n v="1"/>
    <n v="5"/>
    <n v="0"/>
    <n v="26"/>
    <n v="3"/>
    <n v="0"/>
    <n v="78"/>
    <n v="6"/>
    <n v="69"/>
    <n v="176"/>
    <n v="171"/>
    <n v="543"/>
    <n v="630"/>
    <n v="0"/>
    <n v="1170"/>
    <n v="616"/>
    <n v="2"/>
    <n v="4"/>
    <n v="4"/>
    <n v="12359"/>
    <n v="38"/>
    <n v="2592"/>
    <n v="1880"/>
    <n v="616"/>
    <n v="159"/>
    <n v="19639"/>
    <n v="19"/>
    <n v="5"/>
    <n v="388"/>
    <n v="0"/>
    <n v="57"/>
    <n v="24"/>
    <x v="10"/>
  </r>
  <r>
    <x v="10"/>
    <n v="5"/>
    <n v="20"/>
    <n v="27"/>
    <n v="77"/>
    <n v="1"/>
    <n v="351"/>
    <n v="100"/>
    <n v="6"/>
    <n v="8"/>
    <n v="2"/>
    <n v="0"/>
    <n v="26"/>
    <n v="1"/>
    <n v="3"/>
    <n v="51"/>
    <n v="11"/>
    <n v="53"/>
    <n v="117"/>
    <n v="149"/>
    <n v="549"/>
    <n v="727"/>
    <n v="4"/>
    <n v="1090"/>
    <n v="575"/>
    <n v="0"/>
    <n v="5"/>
    <n v="4"/>
    <n v="15736"/>
    <n v="37"/>
    <n v="2856"/>
    <n v="2448"/>
    <n v="722"/>
    <n v="141"/>
    <n v="23067"/>
    <n v="19"/>
    <n v="4"/>
    <n v="357"/>
    <n v="0"/>
    <n v="39"/>
    <n v="17"/>
    <x v="10"/>
  </r>
  <r>
    <x v="13"/>
    <n v="32"/>
    <n v="2"/>
    <n v="106"/>
    <n v="59"/>
    <n v="2"/>
    <n v="665"/>
    <n v="265"/>
    <n v="23"/>
    <n v="12"/>
    <n v="6"/>
    <n v="1"/>
    <n v="93"/>
    <n v="13"/>
    <n v="4"/>
    <n v="67"/>
    <n v="18"/>
    <n v="27"/>
    <n v="62"/>
    <n v="53"/>
    <n v="346"/>
    <n v="563"/>
    <n v="3"/>
    <n v="588"/>
    <n v="308"/>
    <n v="2"/>
    <n v="2"/>
    <n v="0"/>
    <n v="28241"/>
    <n v="118"/>
    <n v="1775"/>
    <n v="4546"/>
    <n v="691"/>
    <n v="284"/>
    <n v="35130"/>
    <n v="63"/>
    <n v="4"/>
    <n v="406"/>
    <n v="2"/>
    <n v="21"/>
    <n v="15"/>
    <x v="11"/>
  </r>
  <r>
    <x v="0"/>
    <n v="25"/>
    <n v="7"/>
    <n v="68"/>
    <n v="64"/>
    <n v="1"/>
    <n v="512"/>
    <n v="178"/>
    <n v="16"/>
    <n v="12"/>
    <n v="1"/>
    <n v="2"/>
    <n v="56"/>
    <n v="13"/>
    <n v="4"/>
    <n v="88"/>
    <n v="19"/>
    <n v="28"/>
    <n v="118"/>
    <n v="112"/>
    <n v="481"/>
    <n v="564"/>
    <n v="0"/>
    <n v="853"/>
    <n v="436"/>
    <n v="2"/>
    <n v="1"/>
    <n v="1"/>
    <n v="20064"/>
    <n v="85"/>
    <n v="2308"/>
    <n v="2878"/>
    <n v="753"/>
    <n v="220"/>
    <n v="27525"/>
    <n v="42"/>
    <n v="4"/>
    <n v="399"/>
    <n v="0"/>
    <n v="20"/>
    <n v="6"/>
    <x v="11"/>
  </r>
  <r>
    <x v="4"/>
    <n v="23"/>
    <n v="7"/>
    <n v="74"/>
    <n v="50"/>
    <n v="2"/>
    <n v="623"/>
    <n v="216"/>
    <n v="13"/>
    <n v="11"/>
    <n v="2"/>
    <n v="1"/>
    <n v="64"/>
    <n v="11"/>
    <n v="8"/>
    <n v="88"/>
    <n v="16"/>
    <n v="36"/>
    <n v="93"/>
    <n v="74"/>
    <n v="380"/>
    <n v="618"/>
    <n v="3"/>
    <n v="825"/>
    <n v="422"/>
    <n v="1"/>
    <n v="3"/>
    <n v="2"/>
    <n v="21660"/>
    <n v="83"/>
    <n v="2447"/>
    <n v="3176"/>
    <n v="825"/>
    <n v="246"/>
    <n v="29412"/>
    <n v="50"/>
    <n v="1"/>
    <n v="460"/>
    <n v="0"/>
    <n v="20"/>
    <n v="21"/>
    <x v="11"/>
  </r>
  <r>
    <x v="1"/>
    <n v="21"/>
    <n v="10"/>
    <n v="62"/>
    <n v="42"/>
    <n v="4"/>
    <n v="606"/>
    <n v="220"/>
    <n v="11"/>
    <n v="17"/>
    <n v="3"/>
    <n v="2"/>
    <n v="52"/>
    <n v="10"/>
    <n v="1"/>
    <n v="108"/>
    <n v="16"/>
    <n v="38"/>
    <n v="83"/>
    <n v="107"/>
    <n v="423"/>
    <n v="636"/>
    <n v="1"/>
    <n v="768"/>
    <n v="419"/>
    <n v="2"/>
    <n v="2"/>
    <n v="2"/>
    <n v="21264"/>
    <n v="70"/>
    <n v="2140"/>
    <n v="3019"/>
    <n v="755"/>
    <n v="230"/>
    <n v="28728"/>
    <n v="48"/>
    <n v="3"/>
    <n v="415"/>
    <n v="0"/>
    <n v="27"/>
    <n v="12"/>
    <x v="11"/>
  </r>
  <r>
    <x v="2"/>
    <n v="21"/>
    <n v="5"/>
    <n v="84"/>
    <n v="44"/>
    <n v="1"/>
    <n v="638"/>
    <n v="233"/>
    <n v="16"/>
    <n v="12"/>
    <n v="2"/>
    <n v="2"/>
    <n v="75"/>
    <n v="9"/>
    <n v="9"/>
    <n v="70"/>
    <n v="17"/>
    <n v="38"/>
    <n v="67"/>
    <n v="71"/>
    <n v="379"/>
    <n v="637"/>
    <n v="4"/>
    <n v="736"/>
    <n v="362"/>
    <n v="0"/>
    <n v="6"/>
    <n v="4"/>
    <n v="22962"/>
    <n v="106"/>
    <n v="2370"/>
    <n v="3313"/>
    <n v="764"/>
    <n v="230"/>
    <n v="30324"/>
    <n v="61"/>
    <n v="2"/>
    <n v="447"/>
    <n v="2"/>
    <n v="25"/>
    <n v="20"/>
    <x v="11"/>
  </r>
  <r>
    <x v="3"/>
    <n v="19"/>
    <n v="13"/>
    <n v="74"/>
    <n v="57"/>
    <n v="2"/>
    <n v="594"/>
    <n v="234"/>
    <n v="17"/>
    <n v="13"/>
    <n v="4"/>
    <n v="1"/>
    <n v="68"/>
    <n v="7"/>
    <n v="0"/>
    <n v="89"/>
    <n v="13"/>
    <n v="51"/>
    <n v="100"/>
    <n v="104"/>
    <n v="427"/>
    <n v="623"/>
    <n v="5"/>
    <n v="829"/>
    <n v="449"/>
    <n v="0"/>
    <n v="6"/>
    <n v="5"/>
    <n v="23524"/>
    <n v="117"/>
    <n v="1994"/>
    <n v="3089"/>
    <n v="572"/>
    <n v="225"/>
    <n v="30635"/>
    <n v="57"/>
    <n v="5"/>
    <n v="412"/>
    <n v="1"/>
    <n v="39"/>
    <n v="24"/>
    <x v="11"/>
  </r>
  <r>
    <x v="27"/>
    <n v="14"/>
    <n v="12"/>
    <n v="36"/>
    <n v="65"/>
    <n v="0"/>
    <n v="378"/>
    <n v="128"/>
    <n v="9"/>
    <n v="10"/>
    <n v="0"/>
    <n v="1"/>
    <n v="32"/>
    <n v="4"/>
    <n v="0"/>
    <n v="100"/>
    <n v="12"/>
    <n v="39"/>
    <n v="122"/>
    <n v="191"/>
    <n v="401"/>
    <n v="533"/>
    <n v="2"/>
    <n v="1184"/>
    <n v="640"/>
    <n v="1"/>
    <n v="6"/>
    <n v="3"/>
    <n v="13572"/>
    <n v="18"/>
    <n v="3028"/>
    <n v="2245"/>
    <n v="707"/>
    <n v="167"/>
    <n v="20732"/>
    <n v="22"/>
    <n v="5"/>
    <n v="344"/>
    <n v="1"/>
    <n v="60"/>
    <n v="19"/>
    <x v="11"/>
  </r>
  <r>
    <x v="8"/>
    <n v="13"/>
    <n v="15"/>
    <n v="44"/>
    <n v="51"/>
    <n v="3"/>
    <n v="359"/>
    <n v="121"/>
    <n v="7"/>
    <n v="8"/>
    <n v="5"/>
    <n v="0"/>
    <n v="36"/>
    <n v="8"/>
    <n v="2"/>
    <n v="82"/>
    <n v="10"/>
    <n v="58"/>
    <n v="121"/>
    <n v="160"/>
    <n v="514"/>
    <n v="644"/>
    <n v="0"/>
    <n v="1229"/>
    <n v="617"/>
    <n v="1"/>
    <n v="5"/>
    <n v="3"/>
    <n v="14749"/>
    <n v="25"/>
    <n v="2726"/>
    <n v="2212"/>
    <n v="629"/>
    <n v="150"/>
    <n v="22298"/>
    <n v="36"/>
    <n v="6"/>
    <n v="381"/>
    <n v="1"/>
    <n v="28"/>
    <n v="23"/>
    <x v="11"/>
  </r>
  <r>
    <x v="35"/>
    <n v="12"/>
    <n v="15"/>
    <n v="56"/>
    <n v="52"/>
    <n v="5"/>
    <n v="423"/>
    <n v="149"/>
    <n v="8"/>
    <n v="9"/>
    <n v="5"/>
    <n v="1"/>
    <n v="49"/>
    <n v="7"/>
    <n v="7"/>
    <n v="92"/>
    <n v="9"/>
    <n v="60"/>
    <n v="107"/>
    <n v="130"/>
    <n v="413"/>
    <n v="630"/>
    <n v="1"/>
    <n v="920"/>
    <n v="487"/>
    <n v="2"/>
    <n v="4"/>
    <n v="2"/>
    <n v="15200"/>
    <n v="63"/>
    <n v="2667"/>
    <n v="2094"/>
    <n v="744"/>
    <n v="203"/>
    <n v="22770"/>
    <n v="35"/>
    <n v="4"/>
    <n v="358"/>
    <n v="2"/>
    <n v="29"/>
    <n v="23"/>
    <x v="11"/>
  </r>
  <r>
    <x v="14"/>
    <n v="12"/>
    <n v="18"/>
    <n v="39"/>
    <n v="52"/>
    <n v="2"/>
    <n v="451"/>
    <n v="149"/>
    <n v="12"/>
    <n v="7"/>
    <n v="0"/>
    <n v="1"/>
    <n v="34"/>
    <n v="5"/>
    <n v="5"/>
    <n v="63"/>
    <n v="9"/>
    <n v="47"/>
    <n v="105"/>
    <n v="117"/>
    <n v="441"/>
    <n v="644"/>
    <n v="6"/>
    <n v="1125"/>
    <n v="594"/>
    <n v="3"/>
    <n v="6"/>
    <n v="4"/>
    <n v="14028"/>
    <n v="67"/>
    <n v="2610"/>
    <n v="2018"/>
    <n v="616"/>
    <n v="167"/>
    <n v="21506"/>
    <n v="33"/>
    <n v="7"/>
    <n v="410"/>
    <n v="2"/>
    <n v="40"/>
    <n v="18"/>
    <x v="11"/>
  </r>
  <r>
    <x v="36"/>
    <n v="11"/>
    <n v="16"/>
    <n v="45"/>
    <n v="55"/>
    <n v="1"/>
    <n v="465"/>
    <n v="158"/>
    <n v="10"/>
    <n v="4"/>
    <n v="3"/>
    <n v="1"/>
    <n v="38"/>
    <n v="7"/>
    <n v="0"/>
    <n v="52"/>
    <n v="6"/>
    <n v="61"/>
    <n v="111"/>
    <n v="160"/>
    <n v="367"/>
    <n v="508"/>
    <n v="3"/>
    <n v="1037"/>
    <n v="523"/>
    <n v="1"/>
    <n v="3"/>
    <n v="2"/>
    <n v="16131"/>
    <n v="37"/>
    <n v="2299"/>
    <n v="2257"/>
    <n v="707"/>
    <n v="218"/>
    <n v="23634"/>
    <n v="24"/>
    <n v="6"/>
    <n v="419"/>
    <n v="1"/>
    <n v="37"/>
    <n v="20"/>
    <x v="11"/>
  </r>
  <r>
    <x v="33"/>
    <n v="11"/>
    <n v="16"/>
    <n v="45"/>
    <n v="72"/>
    <n v="0"/>
    <n v="476"/>
    <n v="151"/>
    <n v="8"/>
    <n v="4"/>
    <n v="8"/>
    <n v="1"/>
    <n v="39"/>
    <n v="6"/>
    <n v="3"/>
    <n v="56"/>
    <n v="9"/>
    <n v="55"/>
    <n v="122"/>
    <n v="117"/>
    <n v="552"/>
    <n v="685"/>
    <n v="6"/>
    <n v="1022"/>
    <n v="517"/>
    <n v="2"/>
    <n v="2"/>
    <n v="2"/>
    <n v="14372"/>
    <n v="30"/>
    <n v="2416"/>
    <n v="2091"/>
    <n v="703"/>
    <n v="210"/>
    <n v="22434"/>
    <n v="55"/>
    <n v="6"/>
    <n v="482"/>
    <n v="0"/>
    <n v="39"/>
    <n v="11"/>
    <x v="11"/>
  </r>
  <r>
    <x v="19"/>
    <n v="11"/>
    <n v="19"/>
    <n v="44"/>
    <n v="63"/>
    <n v="4"/>
    <n v="440"/>
    <n v="132"/>
    <n v="8"/>
    <n v="9"/>
    <n v="3"/>
    <n v="0"/>
    <n v="38"/>
    <n v="6"/>
    <n v="1"/>
    <n v="74"/>
    <n v="9"/>
    <n v="64"/>
    <n v="95"/>
    <n v="98"/>
    <n v="467"/>
    <n v="668"/>
    <n v="2"/>
    <n v="953"/>
    <n v="492"/>
    <n v="1"/>
    <n v="6"/>
    <n v="6"/>
    <n v="15654"/>
    <n v="27"/>
    <n v="2410"/>
    <n v="2241"/>
    <n v="713"/>
    <n v="183"/>
    <n v="23127"/>
    <n v="36"/>
    <n v="5"/>
    <n v="410"/>
    <n v="0"/>
    <n v="25"/>
    <n v="28"/>
    <x v="11"/>
  </r>
  <r>
    <x v="11"/>
    <n v="10"/>
    <n v="16"/>
    <n v="48"/>
    <n v="73"/>
    <n v="2"/>
    <n v="372"/>
    <n v="133"/>
    <n v="14"/>
    <n v="6"/>
    <n v="2"/>
    <n v="1"/>
    <n v="39"/>
    <n v="10"/>
    <n v="4"/>
    <n v="97"/>
    <n v="10"/>
    <n v="68"/>
    <n v="122"/>
    <n v="154"/>
    <n v="482"/>
    <n v="621"/>
    <n v="2"/>
    <n v="1007"/>
    <n v="560"/>
    <n v="1"/>
    <n v="7"/>
    <n v="5"/>
    <n v="14369"/>
    <n v="51"/>
    <n v="2567"/>
    <n v="2177"/>
    <n v="732"/>
    <n v="161"/>
    <n v="21928"/>
    <n v="29"/>
    <n v="4"/>
    <n v="390"/>
    <n v="1"/>
    <n v="19"/>
    <n v="19"/>
    <x v="11"/>
  </r>
  <r>
    <x v="37"/>
    <n v="9"/>
    <n v="16"/>
    <n v="34"/>
    <n v="54"/>
    <n v="2"/>
    <n v="384"/>
    <n v="119"/>
    <n v="8"/>
    <n v="7"/>
    <n v="5"/>
    <n v="0"/>
    <n v="30"/>
    <n v="4"/>
    <n v="0"/>
    <n v="98"/>
    <n v="10"/>
    <n v="54"/>
    <n v="124"/>
    <n v="190"/>
    <n v="449"/>
    <n v="599"/>
    <n v="1"/>
    <n v="1085"/>
    <n v="625"/>
    <n v="5"/>
    <n v="3"/>
    <n v="1"/>
    <n v="14675"/>
    <n v="32"/>
    <n v="2774"/>
    <n v="2204"/>
    <n v="680"/>
    <n v="163"/>
    <n v="21668"/>
    <n v="30"/>
    <n v="10"/>
    <n v="296"/>
    <n v="2"/>
    <n v="38"/>
    <n v="14"/>
    <x v="11"/>
  </r>
  <r>
    <x v="38"/>
    <n v="9"/>
    <n v="19"/>
    <n v="28"/>
    <n v="62"/>
    <n v="3"/>
    <n v="362"/>
    <n v="109"/>
    <n v="8"/>
    <n v="5"/>
    <n v="2"/>
    <n v="0"/>
    <n v="27"/>
    <n v="1"/>
    <n v="2"/>
    <n v="67"/>
    <n v="10"/>
    <n v="58"/>
    <n v="103"/>
    <n v="118"/>
    <n v="519"/>
    <n v="744"/>
    <n v="4"/>
    <n v="1070"/>
    <n v="490"/>
    <n v="1"/>
    <n v="6"/>
    <n v="4"/>
    <n v="14960"/>
    <n v="26"/>
    <n v="2563"/>
    <n v="2267"/>
    <n v="765"/>
    <n v="165"/>
    <n v="22619"/>
    <n v="21"/>
    <n v="6"/>
    <n v="416"/>
    <n v="2"/>
    <n v="31"/>
    <n v="24"/>
    <x v="11"/>
  </r>
  <r>
    <x v="30"/>
    <n v="8"/>
    <n v="21"/>
    <n v="28"/>
    <n v="51"/>
    <n v="1"/>
    <n v="338"/>
    <n v="103"/>
    <n v="8"/>
    <n v="3"/>
    <n v="1"/>
    <n v="0"/>
    <n v="24"/>
    <n v="4"/>
    <n v="0"/>
    <n v="38"/>
    <n v="9"/>
    <n v="56"/>
    <n v="137"/>
    <n v="124"/>
    <n v="390"/>
    <n v="610"/>
    <n v="2"/>
    <n v="943"/>
    <n v="499"/>
    <n v="2"/>
    <n v="7"/>
    <n v="3"/>
    <n v="15721"/>
    <n v="23"/>
    <n v="2580"/>
    <n v="2582"/>
    <n v="694"/>
    <n v="150"/>
    <n v="22775"/>
    <n v="26"/>
    <n v="1"/>
    <n v="439"/>
    <n v="3"/>
    <n v="44"/>
    <n v="15"/>
    <x v="11"/>
  </r>
  <r>
    <x v="32"/>
    <n v="7"/>
    <n v="16"/>
    <n v="37"/>
    <n v="63"/>
    <n v="2"/>
    <n v="450"/>
    <n v="145"/>
    <n v="15"/>
    <n v="7"/>
    <n v="3"/>
    <n v="1"/>
    <n v="34"/>
    <n v="3"/>
    <n v="2"/>
    <n v="73"/>
    <n v="8"/>
    <n v="56"/>
    <n v="110"/>
    <n v="128"/>
    <n v="462"/>
    <n v="658"/>
    <n v="4"/>
    <n v="953"/>
    <n v="509"/>
    <n v="1"/>
    <n v="2"/>
    <n v="1"/>
    <n v="17174"/>
    <n v="56"/>
    <n v="2541"/>
    <n v="2589"/>
    <n v="800"/>
    <n v="227"/>
    <n v="24639"/>
    <n v="37"/>
    <n v="4"/>
    <n v="379"/>
    <n v="1"/>
    <n v="29"/>
    <n v="13"/>
    <x v="11"/>
  </r>
  <r>
    <x v="23"/>
    <n v="7"/>
    <n v="19"/>
    <n v="35"/>
    <n v="62"/>
    <n v="1"/>
    <n v="384"/>
    <n v="132"/>
    <n v="8"/>
    <n v="8"/>
    <n v="0"/>
    <n v="1"/>
    <n v="28"/>
    <n v="8"/>
    <n v="2"/>
    <n v="87"/>
    <n v="6"/>
    <n v="68"/>
    <n v="152"/>
    <n v="142"/>
    <n v="461"/>
    <n v="678"/>
    <n v="9"/>
    <n v="1164"/>
    <n v="609"/>
    <n v="2"/>
    <n v="5"/>
    <n v="5"/>
    <n v="12892"/>
    <n v="33"/>
    <n v="2528"/>
    <n v="1979"/>
    <n v="598"/>
    <n v="136"/>
    <n v="20368"/>
    <n v="33"/>
    <n v="3"/>
    <n v="402"/>
    <n v="0"/>
    <n v="27"/>
    <n v="14"/>
    <x v="11"/>
  </r>
  <r>
    <x v="25"/>
    <n v="6"/>
    <n v="19"/>
    <n v="31"/>
    <n v="73"/>
    <n v="1"/>
    <n v="378"/>
    <n v="114"/>
    <n v="7"/>
    <n v="10"/>
    <n v="1"/>
    <n v="1"/>
    <n v="29"/>
    <n v="2"/>
    <n v="2"/>
    <n v="79"/>
    <n v="10"/>
    <n v="56"/>
    <n v="102"/>
    <n v="148"/>
    <n v="469"/>
    <n v="604"/>
    <n v="0"/>
    <n v="993"/>
    <n v="544"/>
    <n v="2"/>
    <n v="1"/>
    <n v="1"/>
    <n v="13218"/>
    <n v="34"/>
    <n v="2699"/>
    <n v="2041"/>
    <n v="784"/>
    <n v="176"/>
    <n v="20552"/>
    <n v="28"/>
    <n v="3"/>
    <n v="446"/>
    <n v="0"/>
    <n v="40"/>
    <n v="5"/>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1"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8">
  <location ref="A1:D5" firstHeaderRow="0" firstDataRow="1" firstDataCol="1"/>
  <pivotFields count="45">
    <pivotField showAll="0">
      <items count="40">
        <item x="36"/>
        <item x="3"/>
        <item x="12"/>
        <item x="21"/>
        <item x="7"/>
        <item x="28"/>
        <item x="5"/>
        <item x="37"/>
        <item x="27"/>
        <item x="34"/>
        <item x="17"/>
        <item x="1"/>
        <item x="33"/>
        <item x="22"/>
        <item x="8"/>
        <item x="18"/>
        <item x="38"/>
        <item x="24"/>
        <item x="35"/>
        <item x="2"/>
        <item x="13"/>
        <item x="0"/>
        <item x="10"/>
        <item x="14"/>
        <item x="29"/>
        <item x="9"/>
        <item x="31"/>
        <item x="6"/>
        <item x="15"/>
        <item x="32"/>
        <item x="23"/>
        <item x="20"/>
        <item x="30"/>
        <item x="4"/>
        <item x="19"/>
        <item x="25"/>
        <item x="11"/>
        <item x="16"/>
        <item x="26"/>
        <item t="default"/>
      </items>
    </pivotField>
    <pivotField showAll="0"/>
    <pivotField showAll="0"/>
    <pivotField dataField="1"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3">
        <item h="1" x="0"/>
        <item h="1" x="1"/>
        <item h="1" x="2"/>
        <item h="1" x="3"/>
        <item h="1" x="4"/>
        <item h="1" x="5"/>
        <item h="1" x="6"/>
        <item h="1" x="7"/>
        <item h="1" x="8"/>
        <item x="9"/>
        <item x="10"/>
        <item x="11"/>
        <item t="default"/>
      </items>
    </pivotField>
    <pivotField dragToRow="0" dragToCol="0" dragToPage="0" showAll="0" defaultSubtotal="0"/>
    <pivotField dragToRow="0" dragToCol="0" dragToPage="0" showAll="0" defaultSubtotal="0"/>
    <pivotField dataField="1" dragToRow="0" dragToCol="0" dragToPage="0" showAll="0" defaultSubtotal="0"/>
  </pivotFields>
  <rowFields count="1">
    <field x="41"/>
  </rowFields>
  <rowItems count="4">
    <i>
      <x v="9"/>
    </i>
    <i>
      <x v="10"/>
    </i>
    <i>
      <x v="11"/>
    </i>
    <i t="grand">
      <x/>
    </i>
  </rowItems>
  <colFields count="1">
    <field x="-2"/>
  </colFields>
  <colItems count="3">
    <i>
      <x/>
    </i>
    <i i="1">
      <x v="1"/>
    </i>
    <i i="2">
      <x v="2"/>
    </i>
  </colItems>
  <dataFields count="3">
    <dataField name="Average of goals" fld="3" subtotal="average" baseField="41" baseItem="9"/>
    <dataField name="Average of ontarget_scoring_att" fld="7" subtotal="average" baseField="41" baseItem="9"/>
    <dataField name="Average of Goal Precentage" fld="44" subtotal="average" baseField="41" baseItem="9" numFmtId="9"/>
  </dataFields>
  <formats count="1">
    <format dxfId="0">
      <pivotArea outline="0" collapsedLevelsAreSubtotals="1" fieldPosition="0">
        <references count="1">
          <reference field="4294967294" count="1" selected="0">
            <x v="2"/>
          </reference>
        </references>
      </pivotArea>
    </format>
  </formats>
  <chartFormats count="4">
    <chartFormat chart="27" format="14" series="1">
      <pivotArea type="data" outline="0" fieldPosition="0">
        <references count="1">
          <reference field="4294967294" count="1" selected="0">
            <x v="0"/>
          </reference>
        </references>
      </pivotArea>
    </chartFormat>
    <chartFormat chart="27" format="15" series="1">
      <pivotArea type="data" outline="0" fieldPosition="0">
        <references count="1">
          <reference field="4294967294" count="1" selected="0">
            <x v="1"/>
          </reference>
        </references>
      </pivotArea>
    </chartFormat>
    <chartFormat chart="27" format="16" series="1">
      <pivotArea type="data" outline="0" fieldPosition="0">
        <references count="1">
          <reference field="4294967294" count="1" selected="0">
            <x v="2"/>
          </reference>
        </references>
      </pivotArea>
    </chartFormat>
    <chartFormat chart="27" format="17">
      <pivotArea type="data" outline="0" fieldPosition="0">
        <references count="2">
          <reference field="4294967294" count="1" selected="0">
            <x v="2"/>
          </reference>
          <reference field="41"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BD1471C-AE2C-4E53-BC07-BEE34A042CB7}" name="PivotTable7"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9">
  <location ref="A20:C24" firstHeaderRow="0" firstDataRow="1" firstDataCol="1"/>
  <pivotFields count="45">
    <pivotField showAll="0">
      <items count="40">
        <item x="36"/>
        <item x="3"/>
        <item x="12"/>
        <item x="21"/>
        <item x="7"/>
        <item x="28"/>
        <item x="5"/>
        <item x="37"/>
        <item x="27"/>
        <item x="34"/>
        <item x="17"/>
        <item x="1"/>
        <item x="33"/>
        <item x="22"/>
        <item x="8"/>
        <item x="18"/>
        <item x="38"/>
        <item x="24"/>
        <item x="35"/>
        <item x="2"/>
        <item x="13"/>
        <item x="0"/>
        <item x="10"/>
        <item x="14"/>
        <item x="29"/>
        <item x="9"/>
        <item x="31"/>
        <item x="6"/>
        <item x="15"/>
        <item x="32"/>
        <item x="23"/>
        <item x="20"/>
        <item x="30"/>
        <item x="4"/>
        <item x="19"/>
        <item x="25"/>
        <item x="11"/>
        <item x="16"/>
        <item x="26"/>
        <item t="default"/>
      </items>
    </pivotField>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3">
        <item h="1" x="0"/>
        <item h="1" x="1"/>
        <item h="1" x="2"/>
        <item h="1" x="3"/>
        <item h="1" x="4"/>
        <item h="1" x="5"/>
        <item h="1" x="6"/>
        <item h="1" x="7"/>
        <item h="1" x="8"/>
        <item x="9"/>
        <item x="10"/>
        <item x="11"/>
        <item t="default"/>
      </items>
    </pivotField>
    <pivotField dragToRow="0" dragToCol="0" dragToPage="0" showAll="0" defaultSubtotal="0"/>
    <pivotField dragToRow="0" dragToCol="0" dragToPage="0" showAll="0" defaultSubtotal="0"/>
    <pivotField dragToRow="0" dragToCol="0" dragToPage="0" showAll="0" defaultSubtotal="0"/>
  </pivotFields>
  <rowFields count="1">
    <field x="41"/>
  </rowFields>
  <rowItems count="4">
    <i>
      <x v="9"/>
    </i>
    <i>
      <x v="10"/>
    </i>
    <i>
      <x v="11"/>
    </i>
    <i t="grand">
      <x/>
    </i>
  </rowItems>
  <colFields count="1">
    <field x="-2"/>
  </colFields>
  <colItems count="2">
    <i>
      <x/>
    </i>
    <i i="1">
      <x v="1"/>
    </i>
  </colItems>
  <dataFields count="2">
    <dataField name="Average of hit_woodwork" fld="8" subtotal="average" baseField="41" baseItem="9"/>
    <dataField name="Average of pen_goals_conceded" fld="27" subtotal="average" baseField="41" baseItem="9"/>
  </dataFields>
  <chartFormats count="12">
    <chartFormat chart="1" format="1" series="1">
      <pivotArea type="data" outline="0" fieldPosition="0">
        <references count="1">
          <reference field="4294967294" count="1" selected="0">
            <x v="0"/>
          </reference>
        </references>
      </pivotArea>
    </chartFormat>
    <chartFormat chart="3" format="7" series="1">
      <pivotArea type="data" outline="0" fieldPosition="0">
        <references count="1">
          <reference field="4294967294" count="1" selected="0">
            <x v="0"/>
          </reference>
        </references>
      </pivotArea>
    </chartFormat>
    <chartFormat chart="3" format="9" series="1">
      <pivotArea type="data" outline="0" fieldPosition="0">
        <references count="1">
          <reference field="4294967294" count="1" selected="0">
            <x v="1"/>
          </reference>
        </references>
      </pivotArea>
    </chartFormat>
    <chartFormat chart="1" format="3" series="1">
      <pivotArea type="data" outline="0" fieldPosition="0">
        <references count="1">
          <reference field="4294967294" count="1" selected="0">
            <x v="1"/>
          </reference>
        </references>
      </pivotArea>
    </chartFormat>
    <chartFormat chart="5" format="13" series="1">
      <pivotArea type="data" outline="0" fieldPosition="0">
        <references count="1">
          <reference field="4294967294" count="1" selected="0">
            <x v="0"/>
          </reference>
        </references>
      </pivotArea>
    </chartFormat>
    <chartFormat chart="5" format="15" series="1">
      <pivotArea type="data" outline="0" fieldPosition="0">
        <references count="1">
          <reference field="4294967294" count="1" selected="0">
            <x v="1"/>
          </reference>
        </references>
      </pivotArea>
    </chartFormat>
    <chartFormat chart="7" format="2" series="1">
      <pivotArea type="data" outline="0" fieldPosition="0">
        <references count="1">
          <reference field="4294967294" count="1" selected="0">
            <x v="0"/>
          </reference>
        </references>
      </pivotArea>
    </chartFormat>
    <chartFormat chart="7" format="3" series="1">
      <pivotArea type="data" outline="0" fieldPosition="0">
        <references count="1">
          <reference field="4294967294" count="1" selected="0">
            <x v="1"/>
          </reference>
        </references>
      </pivotArea>
    </chartFormat>
    <chartFormat chart="9" format="6" series="1">
      <pivotArea type="data" outline="0" fieldPosition="0">
        <references count="1">
          <reference field="4294967294" count="1" selected="0">
            <x v="0"/>
          </reference>
        </references>
      </pivotArea>
    </chartFormat>
    <chartFormat chart="9" format="7" series="1">
      <pivotArea type="data" outline="0" fieldPosition="0">
        <references count="1">
          <reference field="4294967294" count="1" selected="0">
            <x v="1"/>
          </reference>
        </references>
      </pivotArea>
    </chartFormat>
    <chartFormat chart="28" format="8" series="1">
      <pivotArea type="data" outline="0" fieldPosition="0">
        <references count="1">
          <reference field="4294967294" count="1" selected="0">
            <x v="0"/>
          </reference>
        </references>
      </pivotArea>
    </chartFormat>
    <chartFormat chart="28"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78AE19F-360E-4413-A742-B061A1260F40}" name="PivotTable1"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location ref="A1:C5" firstHeaderRow="0" firstDataRow="1" firstDataCol="1"/>
  <pivotFields count="45">
    <pivotField showAll="0">
      <items count="40">
        <item x="36"/>
        <item x="3"/>
        <item x="12"/>
        <item x="21"/>
        <item x="7"/>
        <item x="28"/>
        <item x="5"/>
        <item x="37"/>
        <item x="27"/>
        <item x="34"/>
        <item x="17"/>
        <item x="1"/>
        <item x="33"/>
        <item x="22"/>
        <item x="8"/>
        <item x="18"/>
        <item x="38"/>
        <item x="24"/>
        <item x="35"/>
        <item x="2"/>
        <item x="13"/>
        <item x="0"/>
        <item x="10"/>
        <item x="14"/>
        <item x="29"/>
        <item x="9"/>
        <item x="31"/>
        <item x="6"/>
        <item x="15"/>
        <item x="32"/>
        <item x="23"/>
        <item x="20"/>
        <item x="30"/>
        <item x="4"/>
        <item x="19"/>
        <item x="25"/>
        <item x="11"/>
        <item x="16"/>
        <item x="2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axis="axisRow" showAll="0">
      <items count="13">
        <item h="1" x="0"/>
        <item h="1" x="1"/>
        <item h="1" x="2"/>
        <item h="1" x="3"/>
        <item h="1" x="4"/>
        <item h="1" x="5"/>
        <item h="1" x="6"/>
        <item h="1" x="7"/>
        <item h="1" x="8"/>
        <item x="9"/>
        <item x="10"/>
        <item x="11"/>
        <item t="default"/>
      </items>
    </pivotField>
    <pivotField dragToRow="0" dragToCol="0" dragToPage="0" showAll="0" defaultSubtotal="0"/>
    <pivotField dragToRow="0" dragToCol="0" dragToPage="0" showAll="0" defaultSubtotal="0"/>
    <pivotField dragToRow="0" dragToCol="0" dragToPage="0" showAll="0" defaultSubtotal="0"/>
  </pivotFields>
  <rowFields count="1">
    <field x="41"/>
  </rowFields>
  <rowItems count="4">
    <i>
      <x v="9"/>
    </i>
    <i>
      <x v="10"/>
    </i>
    <i>
      <x v="11"/>
    </i>
    <i t="grand">
      <x/>
    </i>
  </rowItems>
  <colFields count="1">
    <field x="-2"/>
  </colFields>
  <colItems count="2">
    <i>
      <x/>
    </i>
    <i i="1">
      <x v="1"/>
    </i>
  </colItems>
  <dataFields count="2">
    <dataField name="Average of corner_taken" fld="33" subtotal="average" baseField="41" baseItem="9"/>
    <dataField name="Average of total_offside" fld="15" subtotal="average" baseField="41" baseItem="9"/>
  </dataFields>
  <chartFormats count="7">
    <chartFormat chart="1" format="2" series="1">
      <pivotArea type="data" outline="0" fieldPosition="0">
        <references count="1">
          <reference field="4294967294" count="1" selected="0">
            <x v="1"/>
          </reference>
        </references>
      </pivotArea>
    </chartFormat>
    <chartFormat chart="5" format="14" series="1">
      <pivotArea type="data" outline="0" fieldPosition="0">
        <references count="1">
          <reference field="4294967294" count="1" selected="0">
            <x v="1"/>
          </reference>
        </references>
      </pivotArea>
    </chartFormat>
    <chartFormat chart="5" format="16" series="1">
      <pivotArea type="data" outline="0" fieldPosition="0">
        <references count="1">
          <reference field="4294967294" count="1" selected="0">
            <x v="0"/>
          </reference>
        </references>
      </pivotArea>
    </chartFormat>
    <chartFormat chart="1" format="4"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0"/>
          </reference>
        </references>
      </pivotArea>
    </chartFormat>
    <chartFormat chart="15" format="11" series="1">
      <pivotArea type="data" outline="0" fieldPosition="0">
        <references count="1">
          <reference field="4294967294" count="1" selected="0">
            <x v="1"/>
          </reference>
        </references>
      </pivotArea>
    </chartFormat>
    <chartFormat chart="15" format="12">
      <pivotArea type="data" outline="0" fieldPosition="0">
        <references count="2">
          <reference field="4294967294" count="1" selected="0">
            <x v="1"/>
          </reference>
          <reference field="41"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96304BD-99F4-4354-A873-CA282E7D2CAD}" name="PivotTable6"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14:B18" firstHeaderRow="1" firstDataRow="1" firstDataCol="1"/>
  <pivotFields count="45">
    <pivotField showAll="0">
      <items count="40">
        <item x="36"/>
        <item x="3"/>
        <item x="12"/>
        <item x="21"/>
        <item x="7"/>
        <item x="28"/>
        <item x="5"/>
        <item x="37"/>
        <item x="27"/>
        <item x="34"/>
        <item x="17"/>
        <item x="1"/>
        <item x="33"/>
        <item x="22"/>
        <item x="8"/>
        <item x="18"/>
        <item x="38"/>
        <item x="24"/>
        <item x="35"/>
        <item x="2"/>
        <item x="13"/>
        <item x="0"/>
        <item x="10"/>
        <item x="14"/>
        <item x="29"/>
        <item x="9"/>
        <item x="31"/>
        <item x="6"/>
        <item x="15"/>
        <item x="32"/>
        <item x="23"/>
        <item x="20"/>
        <item x="30"/>
        <item x="4"/>
        <item x="19"/>
        <item x="25"/>
        <item x="11"/>
        <item x="16"/>
        <item x="26"/>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3">
        <item h="1" x="0"/>
        <item h="1" x="1"/>
        <item h="1" x="2"/>
        <item h="1" x="3"/>
        <item h="1" x="4"/>
        <item h="1" x="5"/>
        <item h="1" x="6"/>
        <item h="1" x="7"/>
        <item h="1" x="8"/>
        <item x="9"/>
        <item x="10"/>
        <item x="11"/>
        <item t="default"/>
      </items>
    </pivotField>
    <pivotField dragToRow="0" dragToCol="0" dragToPage="0" showAll="0" defaultSubtotal="0"/>
    <pivotField dragToRow="0" dragToCol="0" dragToPage="0" showAll="0" defaultSubtotal="0"/>
    <pivotField dragToRow="0" dragToCol="0" dragToPage="0" showAll="0" defaultSubtotal="0"/>
  </pivotFields>
  <rowFields count="1">
    <field x="41"/>
  </rowFields>
  <rowItems count="4">
    <i>
      <x v="9"/>
    </i>
    <i>
      <x v="10"/>
    </i>
    <i>
      <x v="11"/>
    </i>
    <i t="grand">
      <x/>
    </i>
  </rowItems>
  <colItems count="1">
    <i/>
  </colItems>
  <dataFields count="1">
    <dataField name="Average of goals" fld="3" subtotal="average" baseField="41" baseItem="9"/>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5F36FE2-D628-46A0-8AC9-F834CE0D345E}" name="PivotTable5"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8:B12" firstHeaderRow="1" firstDataRow="1" firstDataCol="1"/>
  <pivotFields count="45">
    <pivotField showAll="0">
      <items count="40">
        <item x="36"/>
        <item x="3"/>
        <item x="12"/>
        <item x="21"/>
        <item x="7"/>
        <item x="28"/>
        <item x="5"/>
        <item x="37"/>
        <item x="27"/>
        <item x="34"/>
        <item x="17"/>
        <item x="1"/>
        <item x="33"/>
        <item x="22"/>
        <item x="8"/>
        <item x="18"/>
        <item x="38"/>
        <item x="24"/>
        <item x="35"/>
        <item x="2"/>
        <item x="13"/>
        <item x="0"/>
        <item x="10"/>
        <item x="14"/>
        <item x="29"/>
        <item x="9"/>
        <item x="31"/>
        <item x="6"/>
        <item x="15"/>
        <item x="32"/>
        <item x="23"/>
        <item x="20"/>
        <item x="30"/>
        <item x="4"/>
        <item x="19"/>
        <item x="25"/>
        <item x="11"/>
        <item x="16"/>
        <item x="2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3">
        <item h="1" x="0"/>
        <item h="1" x="1"/>
        <item h="1" x="2"/>
        <item h="1" x="3"/>
        <item h="1" x="4"/>
        <item h="1" x="5"/>
        <item h="1" x="6"/>
        <item h="1" x="7"/>
        <item h="1" x="8"/>
        <item x="9"/>
        <item x="10"/>
        <item x="11"/>
        <item t="default"/>
      </items>
    </pivotField>
    <pivotField dragToRow="0" dragToCol="0" dragToPage="0" showAll="0" defaultSubtotal="0"/>
    <pivotField dragToRow="0" dragToCol="0" dragToPage="0" showAll="0" defaultSubtotal="0"/>
    <pivotField dragToRow="0" dragToCol="0" dragToPage="0" showAll="0" defaultSubtotal="0"/>
  </pivotFields>
  <rowFields count="1">
    <field x="41"/>
  </rowFields>
  <rowItems count="4">
    <i>
      <x v="9"/>
    </i>
    <i>
      <x v="10"/>
    </i>
    <i>
      <x v="11"/>
    </i>
    <i t="grand">
      <x/>
    </i>
  </rowItems>
  <colItems count="1">
    <i/>
  </colItems>
  <dataFields count="1">
    <dataField name="Average of att_obox_goal" fld="13" subtotal="average" baseField="41" baseItem="9"/>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85E5E76-49C8-4AB9-A875-D4C361A45973}" name="PivotTable3"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1:B5" firstHeaderRow="1" firstDataRow="1" firstDataCol="1"/>
  <pivotFields count="45">
    <pivotField showAll="0">
      <items count="40">
        <item x="36"/>
        <item x="3"/>
        <item x="12"/>
        <item x="21"/>
        <item x="7"/>
        <item x="28"/>
        <item x="5"/>
        <item x="37"/>
        <item x="27"/>
        <item x="34"/>
        <item x="17"/>
        <item x="1"/>
        <item x="33"/>
        <item x="22"/>
        <item x="8"/>
        <item x="18"/>
        <item x="38"/>
        <item x="24"/>
        <item x="35"/>
        <item x="2"/>
        <item x="13"/>
        <item x="0"/>
        <item x="10"/>
        <item x="14"/>
        <item x="29"/>
        <item x="9"/>
        <item x="31"/>
        <item x="6"/>
        <item x="15"/>
        <item x="32"/>
        <item x="23"/>
        <item x="20"/>
        <item x="30"/>
        <item x="4"/>
        <item x="19"/>
        <item x="25"/>
        <item x="11"/>
        <item x="16"/>
        <item x="26"/>
        <item t="default"/>
      </items>
    </pivotField>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3">
        <item h="1" x="0"/>
        <item h="1" x="1"/>
        <item h="1" x="2"/>
        <item h="1" x="3"/>
        <item h="1" x="4"/>
        <item h="1" x="5"/>
        <item h="1" x="6"/>
        <item h="1" x="7"/>
        <item h="1" x="8"/>
        <item x="9"/>
        <item x="10"/>
        <item x="11"/>
        <item t="default"/>
      </items>
    </pivotField>
    <pivotField dragToRow="0" dragToCol="0" dragToPage="0" showAll="0" defaultSubtotal="0"/>
    <pivotField dragToRow="0" dragToCol="0" dragToPage="0" showAll="0" defaultSubtotal="0"/>
    <pivotField dragToRow="0" dragToCol="0" dragToPage="0" showAll="0" defaultSubtotal="0"/>
  </pivotFields>
  <rowFields count="1">
    <field x="41"/>
  </rowFields>
  <rowItems count="4">
    <i>
      <x v="9"/>
    </i>
    <i>
      <x v="10"/>
    </i>
    <i>
      <x v="11"/>
    </i>
    <i t="grand">
      <x/>
    </i>
  </rowItems>
  <colItems count="1">
    <i/>
  </colItems>
  <dataFields count="1">
    <dataField name="Average of att_ibox_goal" fld="12"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4D884A5-884C-470C-ABE8-BADA94986D4B}" name="PivotTable4"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6">
  <location ref="A1:E5" firstHeaderRow="0" firstDataRow="1" firstDataCol="1"/>
  <pivotFields count="45">
    <pivotField showAll="0">
      <items count="40">
        <item x="36"/>
        <item x="3"/>
        <item x="12"/>
        <item x="21"/>
        <item x="7"/>
        <item x="28"/>
        <item x="5"/>
        <item x="37"/>
        <item x="27"/>
        <item x="34"/>
        <item x="17"/>
        <item x="1"/>
        <item x="33"/>
        <item x="22"/>
        <item x="8"/>
        <item x="18"/>
        <item x="38"/>
        <item x="24"/>
        <item x="35"/>
        <item x="2"/>
        <item x="13"/>
        <item x="0"/>
        <item x="10"/>
        <item x="14"/>
        <item x="29"/>
        <item x="9"/>
        <item x="31"/>
        <item x="6"/>
        <item x="15"/>
        <item x="32"/>
        <item x="23"/>
        <item x="20"/>
        <item x="30"/>
        <item x="4"/>
        <item x="19"/>
        <item x="25"/>
        <item x="11"/>
        <item x="16"/>
        <item x="26"/>
        <item t="default"/>
      </items>
    </pivotField>
    <pivotField showAll="0"/>
    <pivotField showAll="0"/>
    <pivotField showAll="0"/>
    <pivotField showAll="0"/>
    <pivotField showAll="0"/>
    <pivotField showAll="0"/>
    <pivotField showAll="0"/>
    <pivotField showAll="0"/>
    <pivotField dataField="1" showAll="0"/>
    <pivotField dataField="1" showAll="0"/>
    <pivotField dataField="1"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3">
        <item h="1" x="0"/>
        <item h="1" x="1"/>
        <item h="1" x="2"/>
        <item h="1" x="3"/>
        <item h="1" x="4"/>
        <item h="1" x="5"/>
        <item h="1" x="6"/>
        <item h="1" x="7"/>
        <item h="1" x="8"/>
        <item x="9"/>
        <item x="10"/>
        <item x="11"/>
        <item t="default"/>
      </items>
    </pivotField>
    <pivotField dragToRow="0" dragToCol="0" dragToPage="0" showAll="0" defaultSubtotal="0"/>
    <pivotField dragToRow="0" dragToCol="0" dragToPage="0" showAll="0" defaultSubtotal="0"/>
    <pivotField dragToRow="0" dragToCol="0" dragToPage="0" showAll="0" defaultSubtotal="0"/>
  </pivotFields>
  <rowFields count="1">
    <field x="41"/>
  </rowFields>
  <rowItems count="4">
    <i>
      <x v="9"/>
    </i>
    <i>
      <x v="10"/>
    </i>
    <i>
      <x v="11"/>
    </i>
    <i t="grand">
      <x/>
    </i>
  </rowItems>
  <colFields count="1">
    <field x="-2"/>
  </colFields>
  <colItems count="4">
    <i>
      <x/>
    </i>
    <i i="1">
      <x v="1"/>
    </i>
    <i i="2">
      <x v="2"/>
    </i>
    <i i="3">
      <x v="3"/>
    </i>
  </colItems>
  <dataFields count="4">
    <dataField name="Average of att_hd_goal" fld="9" subtotal="average" baseField="41" baseItem="9"/>
    <dataField name="Average of att_pen_goal" fld="10" subtotal="average" baseField="41" baseItem="9"/>
    <dataField name="Average of goal_fastbreak" fld="14" subtotal="average" baseField="41" baseItem="9"/>
    <dataField name="Average of att_freekick_goal" fld="11" subtotal="average" baseField="41" baseItem="9"/>
  </dataFields>
  <chartFormats count="12">
    <chartFormat chart="3"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1"/>
          </reference>
        </references>
      </pivotArea>
    </chartFormat>
    <chartFormat chart="3" format="2" series="1">
      <pivotArea type="data" outline="0" fieldPosition="0">
        <references count="1">
          <reference field="4294967294" count="1" selected="0">
            <x v="3"/>
          </reference>
        </references>
      </pivotArea>
    </chartFormat>
    <chartFormat chart="3" format="3" series="1">
      <pivotArea type="data" outline="0" fieldPosition="0">
        <references count="1">
          <reference field="4294967294" count="1" selected="0">
            <x v="2"/>
          </reference>
        </references>
      </pivotArea>
    </chartFormat>
    <chartFormat chart="7" format="19" series="1">
      <pivotArea type="data" outline="0" fieldPosition="0">
        <references count="1">
          <reference field="4294967294" count="1" selected="0">
            <x v="0"/>
          </reference>
        </references>
      </pivotArea>
    </chartFormat>
    <chartFormat chart="7" format="20" series="1">
      <pivotArea type="data" outline="0" fieldPosition="0">
        <references count="1">
          <reference field="4294967294" count="1" selected="0">
            <x v="1"/>
          </reference>
        </references>
      </pivotArea>
    </chartFormat>
    <chartFormat chart="7" format="21" series="1">
      <pivotArea type="data" outline="0" fieldPosition="0">
        <references count="1">
          <reference field="4294967294" count="1" selected="0">
            <x v="3"/>
          </reference>
        </references>
      </pivotArea>
    </chartFormat>
    <chartFormat chart="7" format="22" series="1">
      <pivotArea type="data" outline="0" fieldPosition="0">
        <references count="1">
          <reference field="4294967294" count="1" selected="0">
            <x v="2"/>
          </reference>
        </references>
      </pivotArea>
    </chartFormat>
    <chartFormat chart="45" format="16" series="1">
      <pivotArea type="data" outline="0" fieldPosition="0">
        <references count="1">
          <reference field="4294967294" count="1" selected="0">
            <x v="0"/>
          </reference>
        </references>
      </pivotArea>
    </chartFormat>
    <chartFormat chart="45" format="17" series="1">
      <pivotArea type="data" outline="0" fieldPosition="0">
        <references count="1">
          <reference field="4294967294" count="1" selected="0">
            <x v="1"/>
          </reference>
        </references>
      </pivotArea>
    </chartFormat>
    <chartFormat chart="45" format="18" series="1">
      <pivotArea type="data" outline="0" fieldPosition="0">
        <references count="1">
          <reference field="4294967294" count="1" selected="0">
            <x v="2"/>
          </reference>
        </references>
      </pivotArea>
    </chartFormat>
    <chartFormat chart="45" format="19"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am" xr10:uid="{5B82D10A-4377-4665-80A7-B1338E43EC7D}" sourceName="team">
  <pivotTables>
    <pivotTable tabId="9" name="PivotTable1"/>
    <pivotTable tabId="15" name="PivotTable1"/>
    <pivotTable tabId="15" name="PivotTable7"/>
    <pivotTable tabId="19" name="PivotTable3"/>
    <pivotTable tabId="19" name="PivotTable5"/>
    <pivotTable tabId="19" name="PivotTable6"/>
    <pivotTable tabId="17" name="PivotTable4"/>
  </pivotTables>
  <data>
    <tabular pivotCacheId="1141589624">
      <items count="39">
        <i x="36" s="1"/>
        <i x="3" s="1"/>
        <i x="12" s="1"/>
        <i x="37" s="1"/>
        <i x="27" s="1"/>
        <i x="1" s="1"/>
        <i x="33" s="1"/>
        <i x="8" s="1"/>
        <i x="38" s="1"/>
        <i x="24" s="1"/>
        <i x="35" s="1"/>
        <i x="2" s="1"/>
        <i x="13" s="1"/>
        <i x="0" s="1"/>
        <i x="10" s="1"/>
        <i x="14" s="1"/>
        <i x="29" s="1"/>
        <i x="32" s="1"/>
        <i x="23" s="1"/>
        <i x="20" s="1"/>
        <i x="30" s="1"/>
        <i x="4" s="1"/>
        <i x="19" s="1"/>
        <i x="25" s="1"/>
        <i x="11" s="1"/>
        <i x="21" s="1" nd="1"/>
        <i x="7" s="1" nd="1"/>
        <i x="28" s="1" nd="1"/>
        <i x="5" s="1" nd="1"/>
        <i x="34" s="1" nd="1"/>
        <i x="17" s="1" nd="1"/>
        <i x="22" s="1" nd="1"/>
        <i x="18" s="1" nd="1"/>
        <i x="9" s="1" nd="1"/>
        <i x="31" s="1" nd="1"/>
        <i x="6" s="1" nd="1"/>
        <i x="15" s="1" nd="1"/>
        <i x="16" s="1" nd="1"/>
        <i x="26"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eam 1" xr10:uid="{D4F56FC3-FACE-4170-B70E-D2A884482244}" cache="Slicer_team" caption="team" style="Custom"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pivotTable" Target="../pivotTables/pivotTable3.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6.xml"/><Relationship Id="rId2" Type="http://schemas.openxmlformats.org/officeDocument/2006/relationships/pivotTable" Target="../pivotTables/pivotTable5.xml"/><Relationship Id="rId1" Type="http://schemas.openxmlformats.org/officeDocument/2006/relationships/pivotTable" Target="../pivotTables/pivotTable4.xml"/><Relationship Id="rId4"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7.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sheetPr>
  <dimension ref="A1:AP241"/>
  <sheetViews>
    <sheetView workbookViewId="0">
      <selection activeCell="A242" sqref="A242"/>
    </sheetView>
  </sheetViews>
  <sheetFormatPr defaultRowHeight="14.4" x14ac:dyDescent="0.3"/>
  <cols>
    <col min="1" max="1" width="23.88671875" bestFit="1" customWidth="1"/>
    <col min="2" max="2" width="4.6640625" bestFit="1" customWidth="1"/>
    <col min="3" max="3" width="5.88671875" bestFit="1" customWidth="1"/>
    <col min="4" max="4" width="5.5546875" bestFit="1" customWidth="1"/>
    <col min="5" max="5" width="12.77734375" bestFit="1" customWidth="1"/>
    <col min="6" max="6" width="13.21875" bestFit="1" customWidth="1"/>
    <col min="7" max="7" width="15.109375" bestFit="1" customWidth="1"/>
    <col min="8" max="8" width="18.33203125" bestFit="1" customWidth="1"/>
    <col min="9" max="9" width="12.88671875" bestFit="1" customWidth="1"/>
    <col min="10" max="10" width="10.77734375" bestFit="1" customWidth="1"/>
    <col min="11" max="11" width="11.77734375" bestFit="1" customWidth="1"/>
    <col min="12" max="12" width="15.33203125" bestFit="1" customWidth="1"/>
    <col min="13" max="13" width="12.21875" bestFit="1" customWidth="1"/>
    <col min="14" max="14" width="12.88671875" bestFit="1" customWidth="1"/>
    <col min="15" max="15" width="13.21875" bestFit="1" customWidth="1"/>
    <col min="16" max="16" width="11.5546875" bestFit="1" customWidth="1"/>
    <col min="17" max="17" width="10.77734375" bestFit="1" customWidth="1"/>
    <col min="18" max="18" width="14.21875" bestFit="1" customWidth="1"/>
    <col min="19" max="19" width="5.5546875" bestFit="1" customWidth="1"/>
    <col min="20" max="20" width="14.44140625" bestFit="1" customWidth="1"/>
    <col min="21" max="21" width="10.88671875" bestFit="1" customWidth="1"/>
    <col min="22" max="22" width="10.77734375" bestFit="1" customWidth="1"/>
    <col min="23" max="23" width="14.44140625" bestFit="1" customWidth="1"/>
    <col min="24" max="24" width="13.88671875" bestFit="1" customWidth="1"/>
    <col min="25" max="25" width="14" bestFit="1" customWidth="1"/>
    <col min="26" max="26" width="9.77734375" bestFit="1" customWidth="1"/>
    <col min="27" max="27" width="16" bestFit="1" customWidth="1"/>
    <col min="28" max="28" width="18.33203125" bestFit="1" customWidth="1"/>
    <col min="29" max="29" width="9.44140625" bestFit="1" customWidth="1"/>
    <col min="30" max="30" width="16.21875" bestFit="1" customWidth="1"/>
    <col min="31" max="31" width="14.109375" bestFit="1" customWidth="1"/>
    <col min="32" max="32" width="13.5546875" bestFit="1" customWidth="1"/>
    <col min="33" max="33" width="10.109375" bestFit="1" customWidth="1"/>
    <col min="34" max="34" width="11.88671875" bestFit="1" customWidth="1"/>
    <col min="35" max="35" width="7.5546875" bestFit="1" customWidth="1"/>
    <col min="36" max="36" width="16.77734375" bestFit="1" customWidth="1"/>
    <col min="37" max="37" width="16.33203125" bestFit="1" customWidth="1"/>
    <col min="38" max="38" width="11.44140625" bestFit="1" customWidth="1"/>
    <col min="39" max="39" width="11.6640625" bestFit="1" customWidth="1"/>
    <col min="40" max="40" width="14.6640625" bestFit="1" customWidth="1"/>
    <col min="41" max="41" width="7.6640625" bestFit="1" customWidth="1"/>
    <col min="42" max="42" width="9.6640625" bestFit="1" customWidth="1"/>
  </cols>
  <sheetData>
    <row r="1" spans="1:42" x14ac:dyDescent="0.3">
      <c r="A1" t="s">
        <v>62</v>
      </c>
      <c r="B1" t="s">
        <v>63</v>
      </c>
      <c r="C1" t="s">
        <v>64</v>
      </c>
      <c r="D1" t="s">
        <v>65</v>
      </c>
      <c r="E1" t="s">
        <v>66</v>
      </c>
      <c r="F1" t="s">
        <v>67</v>
      </c>
      <c r="G1" t="s">
        <v>68</v>
      </c>
      <c r="H1" t="s">
        <v>69</v>
      </c>
      <c r="I1" t="s">
        <v>70</v>
      </c>
      <c r="J1" t="s">
        <v>71</v>
      </c>
      <c r="K1" t="s">
        <v>72</v>
      </c>
      <c r="L1" t="s">
        <v>73</v>
      </c>
      <c r="M1" t="s">
        <v>74</v>
      </c>
      <c r="N1" t="s">
        <v>75</v>
      </c>
      <c r="O1" t="s">
        <v>76</v>
      </c>
      <c r="P1" t="s">
        <v>77</v>
      </c>
      <c r="Q1" t="s">
        <v>78</v>
      </c>
      <c r="R1" t="s">
        <v>79</v>
      </c>
      <c r="S1" t="s">
        <v>80</v>
      </c>
      <c r="T1" t="s">
        <v>81</v>
      </c>
      <c r="U1" t="s">
        <v>82</v>
      </c>
      <c r="V1" t="s">
        <v>83</v>
      </c>
      <c r="W1" t="s">
        <v>84</v>
      </c>
      <c r="X1" t="s">
        <v>85</v>
      </c>
      <c r="Y1" t="s">
        <v>86</v>
      </c>
      <c r="Z1" t="s">
        <v>87</v>
      </c>
      <c r="AA1" t="s">
        <v>88</v>
      </c>
      <c r="AB1" t="s">
        <v>89</v>
      </c>
      <c r="AC1" t="s">
        <v>90</v>
      </c>
      <c r="AD1" t="s">
        <v>91</v>
      </c>
      <c r="AE1" t="s">
        <v>92</v>
      </c>
      <c r="AF1" t="s">
        <v>93</v>
      </c>
      <c r="AG1" t="s">
        <v>94</v>
      </c>
      <c r="AH1" t="s">
        <v>95</v>
      </c>
      <c r="AI1" t="s">
        <v>96</v>
      </c>
      <c r="AJ1" t="s">
        <v>97</v>
      </c>
      <c r="AK1" t="s">
        <v>98</v>
      </c>
      <c r="AL1" t="s">
        <v>99</v>
      </c>
      <c r="AM1" t="s">
        <v>100</v>
      </c>
      <c r="AN1" t="s">
        <v>101</v>
      </c>
      <c r="AO1" t="s">
        <v>102</v>
      </c>
      <c r="AP1" t="s">
        <v>0</v>
      </c>
    </row>
    <row r="2" spans="1:42" x14ac:dyDescent="0.3">
      <c r="A2" t="s">
        <v>22</v>
      </c>
      <c r="B2" t="s">
        <v>103</v>
      </c>
      <c r="C2" t="s">
        <v>24</v>
      </c>
      <c r="D2" t="s">
        <v>104</v>
      </c>
      <c r="E2" t="s">
        <v>105</v>
      </c>
      <c r="F2" t="s">
        <v>3</v>
      </c>
      <c r="G2" t="s">
        <v>106</v>
      </c>
      <c r="H2" t="s">
        <v>107</v>
      </c>
      <c r="I2" t="s">
        <v>108</v>
      </c>
      <c r="J2" t="s">
        <v>109</v>
      </c>
      <c r="K2" t="s">
        <v>24</v>
      </c>
      <c r="L2" t="s">
        <v>3</v>
      </c>
      <c r="M2" t="s">
        <v>110</v>
      </c>
      <c r="N2" t="s">
        <v>111</v>
      </c>
      <c r="O2" t="s">
        <v>42</v>
      </c>
      <c r="P2" t="s">
        <v>112</v>
      </c>
      <c r="Q2" t="s">
        <v>113</v>
      </c>
      <c r="R2" t="s">
        <v>114</v>
      </c>
      <c r="S2" t="s">
        <v>9</v>
      </c>
      <c r="T2" t="s">
        <v>115</v>
      </c>
      <c r="U2" t="s">
        <v>116</v>
      </c>
      <c r="V2" t="s">
        <v>117</v>
      </c>
      <c r="W2" t="s">
        <v>3</v>
      </c>
      <c r="X2" t="s">
        <v>118</v>
      </c>
      <c r="Z2" t="s">
        <v>3</v>
      </c>
      <c r="AA2" t="s">
        <v>24</v>
      </c>
      <c r="AB2" t="s">
        <v>14</v>
      </c>
      <c r="AC2" t="s">
        <v>119</v>
      </c>
      <c r="AE2" t="s">
        <v>120</v>
      </c>
      <c r="AG2" t="s">
        <v>121</v>
      </c>
      <c r="AH2" t="s">
        <v>122</v>
      </c>
      <c r="AI2" t="s">
        <v>123</v>
      </c>
      <c r="AK2" t="s">
        <v>3</v>
      </c>
      <c r="AM2" t="s">
        <v>9</v>
      </c>
      <c r="AN2" t="s">
        <v>124</v>
      </c>
      <c r="AO2" t="s">
        <v>125</v>
      </c>
      <c r="AP2" t="s">
        <v>4</v>
      </c>
    </row>
    <row r="3" spans="1:42" x14ac:dyDescent="0.3">
      <c r="A3" t="s">
        <v>25</v>
      </c>
      <c r="B3" t="s">
        <v>126</v>
      </c>
      <c r="C3" t="s">
        <v>14</v>
      </c>
      <c r="D3" t="s">
        <v>127</v>
      </c>
      <c r="E3" t="s">
        <v>128</v>
      </c>
      <c r="F3" t="s">
        <v>27</v>
      </c>
      <c r="G3" t="s">
        <v>129</v>
      </c>
      <c r="H3" t="s">
        <v>130</v>
      </c>
      <c r="I3" t="s">
        <v>131</v>
      </c>
      <c r="J3" t="s">
        <v>113</v>
      </c>
      <c r="K3" t="s">
        <v>14</v>
      </c>
      <c r="L3" t="s">
        <v>28</v>
      </c>
      <c r="M3" t="s">
        <v>132</v>
      </c>
      <c r="N3" t="s">
        <v>133</v>
      </c>
      <c r="O3" t="s">
        <v>28</v>
      </c>
      <c r="P3" t="s">
        <v>134</v>
      </c>
      <c r="Q3" t="s">
        <v>135</v>
      </c>
      <c r="R3" t="s">
        <v>126</v>
      </c>
      <c r="S3" t="s">
        <v>27</v>
      </c>
      <c r="T3" t="s">
        <v>136</v>
      </c>
      <c r="U3" t="s">
        <v>137</v>
      </c>
      <c r="V3" t="s">
        <v>138</v>
      </c>
      <c r="W3" t="s">
        <v>15</v>
      </c>
      <c r="X3" t="s">
        <v>139</v>
      </c>
      <c r="Z3" t="s">
        <v>3</v>
      </c>
      <c r="AA3" t="s">
        <v>14</v>
      </c>
      <c r="AB3" t="s">
        <v>9</v>
      </c>
      <c r="AC3" t="s">
        <v>140</v>
      </c>
      <c r="AE3" t="s">
        <v>141</v>
      </c>
      <c r="AG3" t="s">
        <v>142</v>
      </c>
      <c r="AH3" t="s">
        <v>143</v>
      </c>
      <c r="AI3" t="s">
        <v>144</v>
      </c>
      <c r="AK3" t="s">
        <v>9</v>
      </c>
      <c r="AM3" t="s">
        <v>3</v>
      </c>
      <c r="AN3" t="s">
        <v>136</v>
      </c>
      <c r="AO3" t="s">
        <v>135</v>
      </c>
      <c r="AP3" t="s">
        <v>4</v>
      </c>
    </row>
    <row r="4" spans="1:42" x14ac:dyDescent="0.3">
      <c r="A4" t="s">
        <v>2</v>
      </c>
      <c r="B4" t="s">
        <v>145</v>
      </c>
      <c r="C4" t="s">
        <v>146</v>
      </c>
      <c r="D4" t="s">
        <v>147</v>
      </c>
      <c r="E4" t="s">
        <v>148</v>
      </c>
      <c r="F4" t="s">
        <v>15</v>
      </c>
      <c r="G4" t="s">
        <v>149</v>
      </c>
      <c r="H4" t="s">
        <v>150</v>
      </c>
      <c r="I4" t="s">
        <v>151</v>
      </c>
      <c r="J4" t="s">
        <v>34</v>
      </c>
      <c r="K4" t="s">
        <v>28</v>
      </c>
      <c r="L4" t="s">
        <v>3</v>
      </c>
      <c r="M4" t="s">
        <v>152</v>
      </c>
      <c r="N4" t="s">
        <v>111</v>
      </c>
      <c r="O4" t="s">
        <v>14</v>
      </c>
      <c r="P4" t="s">
        <v>153</v>
      </c>
      <c r="Q4" t="s">
        <v>145</v>
      </c>
      <c r="R4" t="s">
        <v>114</v>
      </c>
      <c r="S4" t="s">
        <v>3</v>
      </c>
      <c r="T4" t="s">
        <v>154</v>
      </c>
      <c r="U4" t="s">
        <v>155</v>
      </c>
      <c r="V4" t="s">
        <v>156</v>
      </c>
      <c r="W4" t="s">
        <v>9</v>
      </c>
      <c r="X4" t="s">
        <v>157</v>
      </c>
      <c r="Z4" t="s">
        <v>15</v>
      </c>
      <c r="AA4" t="s">
        <v>3</v>
      </c>
      <c r="AB4" t="s">
        <v>3</v>
      </c>
      <c r="AC4" t="s">
        <v>158</v>
      </c>
      <c r="AE4" t="s">
        <v>159</v>
      </c>
      <c r="AG4" t="s">
        <v>160</v>
      </c>
      <c r="AH4" t="s">
        <v>161</v>
      </c>
      <c r="AI4" t="s">
        <v>162</v>
      </c>
      <c r="AK4" t="s">
        <v>3</v>
      </c>
      <c r="AM4" t="s">
        <v>15</v>
      </c>
      <c r="AN4" t="s">
        <v>163</v>
      </c>
      <c r="AO4" t="s">
        <v>114</v>
      </c>
      <c r="AP4" t="s">
        <v>4</v>
      </c>
    </row>
    <row r="5" spans="1:42" x14ac:dyDescent="0.3">
      <c r="A5" t="s">
        <v>5</v>
      </c>
      <c r="B5" t="s">
        <v>164</v>
      </c>
      <c r="C5" t="s">
        <v>34</v>
      </c>
      <c r="D5" t="s">
        <v>165</v>
      </c>
      <c r="E5" t="s">
        <v>166</v>
      </c>
      <c r="F5" t="s">
        <v>14</v>
      </c>
      <c r="G5" t="s">
        <v>167</v>
      </c>
      <c r="H5" t="s">
        <v>168</v>
      </c>
      <c r="I5" t="s">
        <v>164</v>
      </c>
      <c r="J5" t="s">
        <v>146</v>
      </c>
      <c r="K5" t="s">
        <v>146</v>
      </c>
      <c r="L5" t="s">
        <v>14</v>
      </c>
      <c r="M5" t="s">
        <v>169</v>
      </c>
      <c r="N5" t="s">
        <v>146</v>
      </c>
      <c r="O5" t="s">
        <v>33</v>
      </c>
      <c r="P5" t="s">
        <v>170</v>
      </c>
      <c r="Q5" t="s">
        <v>109</v>
      </c>
      <c r="R5" t="s">
        <v>171</v>
      </c>
      <c r="S5" t="s">
        <v>28</v>
      </c>
      <c r="T5" t="s">
        <v>172</v>
      </c>
      <c r="U5" t="s">
        <v>150</v>
      </c>
      <c r="V5" t="s">
        <v>173</v>
      </c>
      <c r="W5" t="s">
        <v>3</v>
      </c>
      <c r="X5" t="s">
        <v>174</v>
      </c>
      <c r="Z5" t="s">
        <v>3</v>
      </c>
      <c r="AA5" t="s">
        <v>14</v>
      </c>
      <c r="AB5" t="s">
        <v>14</v>
      </c>
      <c r="AC5" t="s">
        <v>175</v>
      </c>
      <c r="AE5" t="s">
        <v>176</v>
      </c>
      <c r="AG5" t="s">
        <v>177</v>
      </c>
      <c r="AH5" t="s">
        <v>178</v>
      </c>
      <c r="AI5" t="s">
        <v>179</v>
      </c>
      <c r="AK5" t="s">
        <v>3</v>
      </c>
      <c r="AM5" t="s">
        <v>15</v>
      </c>
      <c r="AN5" t="s">
        <v>180</v>
      </c>
      <c r="AO5" t="s">
        <v>114</v>
      </c>
      <c r="AP5" t="s">
        <v>4</v>
      </c>
    </row>
    <row r="6" spans="1:42" x14ac:dyDescent="0.3">
      <c r="A6" t="s">
        <v>21</v>
      </c>
      <c r="B6" t="s">
        <v>181</v>
      </c>
      <c r="C6" t="s">
        <v>109</v>
      </c>
      <c r="D6" t="s">
        <v>147</v>
      </c>
      <c r="E6" t="s">
        <v>182</v>
      </c>
      <c r="F6" t="s">
        <v>14</v>
      </c>
      <c r="G6" t="s">
        <v>183</v>
      </c>
      <c r="H6" t="s">
        <v>184</v>
      </c>
      <c r="I6" t="s">
        <v>28</v>
      </c>
      <c r="J6" t="s">
        <v>24</v>
      </c>
      <c r="K6" t="s">
        <v>28</v>
      </c>
      <c r="L6" t="s">
        <v>9</v>
      </c>
      <c r="M6" t="s">
        <v>148</v>
      </c>
      <c r="N6" t="s">
        <v>185</v>
      </c>
      <c r="O6" t="s">
        <v>42</v>
      </c>
      <c r="P6" t="s">
        <v>186</v>
      </c>
      <c r="Q6" t="s">
        <v>28</v>
      </c>
      <c r="R6" t="s">
        <v>187</v>
      </c>
      <c r="S6" t="s">
        <v>111</v>
      </c>
      <c r="T6" t="s">
        <v>188</v>
      </c>
      <c r="U6" t="s">
        <v>189</v>
      </c>
      <c r="V6" t="s">
        <v>190</v>
      </c>
      <c r="W6" t="s">
        <v>9</v>
      </c>
      <c r="X6" t="s">
        <v>191</v>
      </c>
      <c r="Z6" t="s">
        <v>9</v>
      </c>
      <c r="AA6" t="s">
        <v>33</v>
      </c>
      <c r="AB6" t="s">
        <v>28</v>
      </c>
      <c r="AC6" t="s">
        <v>192</v>
      </c>
      <c r="AE6" t="s">
        <v>193</v>
      </c>
      <c r="AG6" t="s">
        <v>194</v>
      </c>
      <c r="AH6" t="s">
        <v>195</v>
      </c>
      <c r="AI6" t="s">
        <v>196</v>
      </c>
      <c r="AK6" t="s">
        <v>9</v>
      </c>
      <c r="AM6" t="s">
        <v>15</v>
      </c>
      <c r="AN6" t="s">
        <v>163</v>
      </c>
      <c r="AO6" t="s">
        <v>126</v>
      </c>
      <c r="AP6" t="s">
        <v>4</v>
      </c>
    </row>
    <row r="7" spans="1:42" x14ac:dyDescent="0.3">
      <c r="A7" t="s">
        <v>20</v>
      </c>
      <c r="B7" t="s">
        <v>113</v>
      </c>
      <c r="C7" t="s">
        <v>131</v>
      </c>
      <c r="D7" t="s">
        <v>197</v>
      </c>
      <c r="E7" t="s">
        <v>198</v>
      </c>
      <c r="F7" t="s">
        <v>27</v>
      </c>
      <c r="G7" t="s">
        <v>199</v>
      </c>
      <c r="H7" t="s">
        <v>153</v>
      </c>
      <c r="I7" t="s">
        <v>33</v>
      </c>
      <c r="J7" t="s">
        <v>146</v>
      </c>
      <c r="K7" t="s">
        <v>28</v>
      </c>
      <c r="L7" t="s">
        <v>15</v>
      </c>
      <c r="M7" t="s">
        <v>200</v>
      </c>
      <c r="N7" t="s">
        <v>42</v>
      </c>
      <c r="O7" t="s">
        <v>14</v>
      </c>
      <c r="P7" t="s">
        <v>201</v>
      </c>
      <c r="Q7" t="s">
        <v>109</v>
      </c>
      <c r="R7" t="s">
        <v>202</v>
      </c>
      <c r="S7" t="s">
        <v>185</v>
      </c>
      <c r="T7" t="s">
        <v>203</v>
      </c>
      <c r="U7" t="s">
        <v>204</v>
      </c>
      <c r="V7" t="s">
        <v>205</v>
      </c>
      <c r="W7" t="s">
        <v>15</v>
      </c>
      <c r="X7" t="s">
        <v>206</v>
      </c>
      <c r="Z7" t="s">
        <v>14</v>
      </c>
      <c r="AA7" t="s">
        <v>34</v>
      </c>
      <c r="AB7" t="s">
        <v>28</v>
      </c>
      <c r="AC7" t="s">
        <v>207</v>
      </c>
      <c r="AE7" t="s">
        <v>208</v>
      </c>
      <c r="AG7" t="s">
        <v>209</v>
      </c>
      <c r="AH7" t="s">
        <v>210</v>
      </c>
      <c r="AI7" t="s">
        <v>211</v>
      </c>
      <c r="AK7" t="s">
        <v>28</v>
      </c>
      <c r="AM7" t="s">
        <v>9</v>
      </c>
      <c r="AN7" t="s">
        <v>148</v>
      </c>
      <c r="AO7" t="s">
        <v>108</v>
      </c>
      <c r="AP7" t="s">
        <v>4</v>
      </c>
    </row>
    <row r="8" spans="1:42" x14ac:dyDescent="0.3">
      <c r="A8" t="s">
        <v>16</v>
      </c>
      <c r="B8" t="s">
        <v>113</v>
      </c>
      <c r="C8" t="s">
        <v>151</v>
      </c>
      <c r="D8" t="s">
        <v>202</v>
      </c>
      <c r="E8" t="s">
        <v>200</v>
      </c>
      <c r="F8" t="s">
        <v>14</v>
      </c>
      <c r="G8" t="s">
        <v>212</v>
      </c>
      <c r="H8" t="s">
        <v>213</v>
      </c>
      <c r="I8" t="s">
        <v>34</v>
      </c>
      <c r="J8" t="s">
        <v>151</v>
      </c>
      <c r="K8" t="s">
        <v>14</v>
      </c>
      <c r="L8" t="s">
        <v>15</v>
      </c>
      <c r="M8" t="s">
        <v>214</v>
      </c>
      <c r="N8" t="s">
        <v>146</v>
      </c>
      <c r="O8" t="s">
        <v>14</v>
      </c>
      <c r="P8" t="s">
        <v>215</v>
      </c>
      <c r="Q8" t="s">
        <v>185</v>
      </c>
      <c r="R8" t="s">
        <v>197</v>
      </c>
      <c r="S8" t="s">
        <v>27</v>
      </c>
      <c r="T8" t="s">
        <v>201</v>
      </c>
      <c r="U8" t="s">
        <v>216</v>
      </c>
      <c r="V8" t="s">
        <v>217</v>
      </c>
      <c r="W8" t="s">
        <v>15</v>
      </c>
      <c r="X8" t="s">
        <v>218</v>
      </c>
      <c r="Z8" t="s">
        <v>14</v>
      </c>
      <c r="AA8" t="s">
        <v>28</v>
      </c>
      <c r="AB8" t="s">
        <v>28</v>
      </c>
      <c r="AC8" t="s">
        <v>219</v>
      </c>
      <c r="AE8" t="s">
        <v>220</v>
      </c>
      <c r="AG8" t="s">
        <v>221</v>
      </c>
      <c r="AH8" t="s">
        <v>222</v>
      </c>
      <c r="AI8" t="s">
        <v>223</v>
      </c>
      <c r="AK8" t="s">
        <v>9</v>
      </c>
      <c r="AM8" t="s">
        <v>15</v>
      </c>
      <c r="AN8" t="s">
        <v>165</v>
      </c>
      <c r="AO8" t="s">
        <v>108</v>
      </c>
      <c r="AP8" t="s">
        <v>4</v>
      </c>
    </row>
    <row r="9" spans="1:42" x14ac:dyDescent="0.3">
      <c r="A9" t="s">
        <v>13</v>
      </c>
      <c r="B9" t="s">
        <v>151</v>
      </c>
      <c r="C9" t="s">
        <v>113</v>
      </c>
      <c r="D9" t="s">
        <v>202</v>
      </c>
      <c r="E9" t="s">
        <v>224</v>
      </c>
      <c r="F9" t="s">
        <v>28</v>
      </c>
      <c r="G9" t="s">
        <v>225</v>
      </c>
      <c r="H9" t="s">
        <v>226</v>
      </c>
      <c r="I9" t="s">
        <v>24</v>
      </c>
      <c r="J9" t="s">
        <v>109</v>
      </c>
      <c r="K9" t="s">
        <v>24</v>
      </c>
      <c r="L9" t="s">
        <v>14</v>
      </c>
      <c r="M9" t="s">
        <v>227</v>
      </c>
      <c r="N9" t="s">
        <v>42</v>
      </c>
      <c r="O9" t="s">
        <v>9</v>
      </c>
      <c r="P9" t="s">
        <v>228</v>
      </c>
      <c r="Q9" t="s">
        <v>34</v>
      </c>
      <c r="R9" t="s">
        <v>187</v>
      </c>
      <c r="S9" t="s">
        <v>135</v>
      </c>
      <c r="T9" t="s">
        <v>229</v>
      </c>
      <c r="U9" t="s">
        <v>161</v>
      </c>
      <c r="V9" t="s">
        <v>230</v>
      </c>
      <c r="W9" t="s">
        <v>9</v>
      </c>
      <c r="X9" t="s">
        <v>231</v>
      </c>
      <c r="Z9" t="s">
        <v>9</v>
      </c>
      <c r="AA9" t="s">
        <v>111</v>
      </c>
      <c r="AB9" t="s">
        <v>28</v>
      </c>
      <c r="AC9" t="s">
        <v>232</v>
      </c>
      <c r="AE9" t="s">
        <v>233</v>
      </c>
      <c r="AG9" t="s">
        <v>234</v>
      </c>
      <c r="AH9" t="s">
        <v>235</v>
      </c>
      <c r="AI9" t="s">
        <v>236</v>
      </c>
      <c r="AK9" t="s">
        <v>34</v>
      </c>
      <c r="AM9" t="s">
        <v>24</v>
      </c>
      <c r="AN9" t="s">
        <v>237</v>
      </c>
      <c r="AO9" t="s">
        <v>125</v>
      </c>
      <c r="AP9" t="s">
        <v>4</v>
      </c>
    </row>
    <row r="10" spans="1:42" x14ac:dyDescent="0.3">
      <c r="A10" t="s">
        <v>7</v>
      </c>
      <c r="B10" t="s">
        <v>151</v>
      </c>
      <c r="C10" t="s">
        <v>146</v>
      </c>
      <c r="D10" t="s">
        <v>202</v>
      </c>
      <c r="E10" t="s">
        <v>154</v>
      </c>
      <c r="F10" t="s">
        <v>9</v>
      </c>
      <c r="G10" t="s">
        <v>238</v>
      </c>
      <c r="H10" t="s">
        <v>239</v>
      </c>
      <c r="I10" t="s">
        <v>42</v>
      </c>
      <c r="J10" t="s">
        <v>42</v>
      </c>
      <c r="K10" t="s">
        <v>34</v>
      </c>
      <c r="L10" t="s">
        <v>9</v>
      </c>
      <c r="M10" t="s">
        <v>148</v>
      </c>
      <c r="N10" t="s">
        <v>34</v>
      </c>
      <c r="O10" t="s">
        <v>14</v>
      </c>
      <c r="P10" t="s">
        <v>115</v>
      </c>
      <c r="Q10" t="s">
        <v>131</v>
      </c>
      <c r="R10" t="s">
        <v>240</v>
      </c>
      <c r="S10" t="s">
        <v>24</v>
      </c>
      <c r="T10" t="s">
        <v>153</v>
      </c>
      <c r="U10" t="s">
        <v>241</v>
      </c>
      <c r="V10" t="s">
        <v>242</v>
      </c>
      <c r="W10" t="s">
        <v>3</v>
      </c>
      <c r="X10" t="s">
        <v>243</v>
      </c>
      <c r="Z10" t="s">
        <v>14</v>
      </c>
      <c r="AA10" t="s">
        <v>27</v>
      </c>
      <c r="AB10" t="s">
        <v>9</v>
      </c>
      <c r="AC10" t="s">
        <v>244</v>
      </c>
      <c r="AE10" t="s">
        <v>245</v>
      </c>
      <c r="AG10" t="s">
        <v>246</v>
      </c>
      <c r="AH10" t="s">
        <v>247</v>
      </c>
      <c r="AI10" t="s">
        <v>248</v>
      </c>
      <c r="AK10" t="s">
        <v>9</v>
      </c>
      <c r="AM10" t="s">
        <v>3</v>
      </c>
      <c r="AN10" t="s">
        <v>104</v>
      </c>
      <c r="AO10" t="s">
        <v>151</v>
      </c>
      <c r="AP10" t="s">
        <v>4</v>
      </c>
    </row>
    <row r="11" spans="1:42" x14ac:dyDescent="0.3">
      <c r="A11" t="s">
        <v>12</v>
      </c>
      <c r="B11" t="s">
        <v>131</v>
      </c>
      <c r="C11" t="s">
        <v>109</v>
      </c>
      <c r="D11" t="s">
        <v>249</v>
      </c>
      <c r="E11" t="s">
        <v>182</v>
      </c>
      <c r="F11" t="s">
        <v>3</v>
      </c>
      <c r="G11" t="s">
        <v>250</v>
      </c>
      <c r="H11" t="s">
        <v>251</v>
      </c>
      <c r="I11" t="s">
        <v>42</v>
      </c>
      <c r="J11" t="s">
        <v>185</v>
      </c>
      <c r="K11" t="s">
        <v>9</v>
      </c>
      <c r="L11" t="s">
        <v>15</v>
      </c>
      <c r="M11" t="s">
        <v>252</v>
      </c>
      <c r="N11" t="s">
        <v>185</v>
      </c>
      <c r="O11" t="s">
        <v>9</v>
      </c>
      <c r="P11" t="s">
        <v>253</v>
      </c>
      <c r="Q11" t="s">
        <v>109</v>
      </c>
      <c r="R11" t="s">
        <v>214</v>
      </c>
      <c r="S11" t="s">
        <v>131</v>
      </c>
      <c r="T11" t="s">
        <v>254</v>
      </c>
      <c r="U11" t="s">
        <v>255</v>
      </c>
      <c r="V11" t="s">
        <v>256</v>
      </c>
      <c r="W11" t="s">
        <v>3</v>
      </c>
      <c r="X11" t="s">
        <v>257</v>
      </c>
      <c r="Z11" t="s">
        <v>15</v>
      </c>
      <c r="AA11" t="s">
        <v>34</v>
      </c>
      <c r="AB11" t="s">
        <v>28</v>
      </c>
      <c r="AC11" t="s">
        <v>258</v>
      </c>
      <c r="AE11" t="s">
        <v>259</v>
      </c>
      <c r="AG11" t="s">
        <v>260</v>
      </c>
      <c r="AH11" t="s">
        <v>261</v>
      </c>
      <c r="AI11" t="s">
        <v>262</v>
      </c>
      <c r="AK11" t="s">
        <v>27</v>
      </c>
      <c r="AM11" t="s">
        <v>9</v>
      </c>
      <c r="AN11" t="s">
        <v>263</v>
      </c>
      <c r="AO11" t="s">
        <v>264</v>
      </c>
      <c r="AP11" t="s">
        <v>4</v>
      </c>
    </row>
    <row r="12" spans="1:42" x14ac:dyDescent="0.3">
      <c r="A12" t="s">
        <v>17</v>
      </c>
      <c r="B12" t="s">
        <v>109</v>
      </c>
      <c r="C12" t="s">
        <v>113</v>
      </c>
      <c r="D12" t="s">
        <v>148</v>
      </c>
      <c r="E12" t="s">
        <v>127</v>
      </c>
      <c r="F12" t="s">
        <v>9</v>
      </c>
      <c r="G12" t="s">
        <v>265</v>
      </c>
      <c r="H12" t="s">
        <v>266</v>
      </c>
      <c r="I12" t="s">
        <v>33</v>
      </c>
      <c r="J12" t="s">
        <v>33</v>
      </c>
      <c r="K12" t="s">
        <v>27</v>
      </c>
      <c r="L12" t="s">
        <v>3</v>
      </c>
      <c r="M12" t="s">
        <v>124</v>
      </c>
      <c r="N12" t="s">
        <v>33</v>
      </c>
      <c r="O12" t="s">
        <v>14</v>
      </c>
      <c r="P12" t="s">
        <v>267</v>
      </c>
      <c r="Q12" t="s">
        <v>42</v>
      </c>
      <c r="R12" t="s">
        <v>268</v>
      </c>
      <c r="S12" t="s">
        <v>269</v>
      </c>
      <c r="T12" t="s">
        <v>270</v>
      </c>
      <c r="U12" t="s">
        <v>271</v>
      </c>
      <c r="V12" t="s">
        <v>272</v>
      </c>
      <c r="W12" t="s">
        <v>3</v>
      </c>
      <c r="X12" t="s">
        <v>273</v>
      </c>
      <c r="Z12" t="s">
        <v>3</v>
      </c>
      <c r="AA12" t="s">
        <v>33</v>
      </c>
      <c r="AB12" t="s">
        <v>33</v>
      </c>
      <c r="AC12" t="s">
        <v>274</v>
      </c>
      <c r="AE12" t="s">
        <v>208</v>
      </c>
      <c r="AG12" t="s">
        <v>275</v>
      </c>
      <c r="AH12" t="s">
        <v>276</v>
      </c>
      <c r="AI12" t="s">
        <v>277</v>
      </c>
      <c r="AK12" t="s">
        <v>24</v>
      </c>
      <c r="AM12" t="s">
        <v>15</v>
      </c>
      <c r="AN12" t="s">
        <v>278</v>
      </c>
      <c r="AO12" t="s">
        <v>124</v>
      </c>
      <c r="AP12" t="s">
        <v>4</v>
      </c>
    </row>
    <row r="13" spans="1:42" x14ac:dyDescent="0.3">
      <c r="A13" t="s">
        <v>18</v>
      </c>
      <c r="B13" t="s">
        <v>109</v>
      </c>
      <c r="C13" t="s">
        <v>108</v>
      </c>
      <c r="D13" t="s">
        <v>171</v>
      </c>
      <c r="E13" t="s">
        <v>279</v>
      </c>
      <c r="F13" t="s">
        <v>9</v>
      </c>
      <c r="G13" t="s">
        <v>280</v>
      </c>
      <c r="H13" t="s">
        <v>281</v>
      </c>
      <c r="I13" t="s">
        <v>34</v>
      </c>
      <c r="J13" t="s">
        <v>14</v>
      </c>
      <c r="K13" t="s">
        <v>3</v>
      </c>
      <c r="L13" t="s">
        <v>9</v>
      </c>
      <c r="M13" t="s">
        <v>114</v>
      </c>
      <c r="N13" t="s">
        <v>34</v>
      </c>
      <c r="O13" t="s">
        <v>14</v>
      </c>
      <c r="P13" t="s">
        <v>282</v>
      </c>
      <c r="Q13" t="s">
        <v>42</v>
      </c>
      <c r="R13" t="s">
        <v>166</v>
      </c>
      <c r="S13" t="s">
        <v>27</v>
      </c>
      <c r="T13" t="s">
        <v>213</v>
      </c>
      <c r="U13" t="s">
        <v>283</v>
      </c>
      <c r="V13" t="s">
        <v>242</v>
      </c>
      <c r="W13" t="s">
        <v>3</v>
      </c>
      <c r="X13" t="s">
        <v>284</v>
      </c>
      <c r="Z13" t="s">
        <v>9</v>
      </c>
      <c r="AA13" t="s">
        <v>27</v>
      </c>
      <c r="AB13" t="s">
        <v>27</v>
      </c>
      <c r="AC13" t="s">
        <v>285</v>
      </c>
      <c r="AE13" t="s">
        <v>208</v>
      </c>
      <c r="AG13" t="s">
        <v>286</v>
      </c>
      <c r="AH13" t="s">
        <v>287</v>
      </c>
      <c r="AI13" t="s">
        <v>288</v>
      </c>
      <c r="AK13" t="s">
        <v>24</v>
      </c>
      <c r="AM13" t="s">
        <v>15</v>
      </c>
      <c r="AN13" t="s">
        <v>127</v>
      </c>
      <c r="AO13" t="s">
        <v>125</v>
      </c>
      <c r="AP13" t="s">
        <v>4</v>
      </c>
    </row>
    <row r="14" spans="1:42" x14ac:dyDescent="0.3">
      <c r="A14" t="s">
        <v>6</v>
      </c>
      <c r="B14" t="s">
        <v>111</v>
      </c>
      <c r="C14" t="s">
        <v>146</v>
      </c>
      <c r="D14" t="s">
        <v>227</v>
      </c>
      <c r="E14" t="s">
        <v>182</v>
      </c>
      <c r="F14" t="s">
        <v>3</v>
      </c>
      <c r="G14" t="s">
        <v>289</v>
      </c>
      <c r="H14" t="s">
        <v>290</v>
      </c>
      <c r="I14" t="s">
        <v>42</v>
      </c>
      <c r="J14" t="s">
        <v>24</v>
      </c>
      <c r="K14" t="s">
        <v>28</v>
      </c>
      <c r="L14" t="s">
        <v>3</v>
      </c>
      <c r="M14" t="s">
        <v>291</v>
      </c>
      <c r="N14" t="s">
        <v>42</v>
      </c>
      <c r="O14" t="s">
        <v>28</v>
      </c>
      <c r="P14" t="s">
        <v>292</v>
      </c>
      <c r="Q14" t="s">
        <v>185</v>
      </c>
      <c r="R14" t="s">
        <v>132</v>
      </c>
      <c r="S14" t="s">
        <v>3</v>
      </c>
      <c r="T14" t="s">
        <v>293</v>
      </c>
      <c r="U14" t="s">
        <v>294</v>
      </c>
      <c r="V14" t="s">
        <v>295</v>
      </c>
      <c r="W14" t="s">
        <v>15</v>
      </c>
      <c r="X14" t="s">
        <v>296</v>
      </c>
      <c r="Z14" t="s">
        <v>3</v>
      </c>
      <c r="AA14" t="s">
        <v>27</v>
      </c>
      <c r="AB14" t="s">
        <v>14</v>
      </c>
      <c r="AC14" t="s">
        <v>297</v>
      </c>
      <c r="AE14" t="s">
        <v>298</v>
      </c>
      <c r="AG14" t="s">
        <v>299</v>
      </c>
      <c r="AH14" t="s">
        <v>300</v>
      </c>
      <c r="AI14" t="s">
        <v>301</v>
      </c>
      <c r="AK14" t="s">
        <v>24</v>
      </c>
      <c r="AM14" t="s">
        <v>15</v>
      </c>
      <c r="AN14" t="s">
        <v>147</v>
      </c>
      <c r="AO14" t="s">
        <v>302</v>
      </c>
      <c r="AP14" t="s">
        <v>4</v>
      </c>
    </row>
    <row r="15" spans="1:42" x14ac:dyDescent="0.3">
      <c r="A15" t="s">
        <v>26</v>
      </c>
      <c r="B15" t="s">
        <v>111</v>
      </c>
      <c r="C15" t="s">
        <v>269</v>
      </c>
      <c r="D15" t="s">
        <v>303</v>
      </c>
      <c r="E15" t="s">
        <v>166</v>
      </c>
      <c r="F15" t="s">
        <v>27</v>
      </c>
      <c r="G15" t="s">
        <v>265</v>
      </c>
      <c r="H15" t="s">
        <v>292</v>
      </c>
      <c r="I15" t="s">
        <v>24</v>
      </c>
      <c r="J15" t="s">
        <v>14</v>
      </c>
      <c r="K15" t="s">
        <v>9</v>
      </c>
      <c r="L15" t="s">
        <v>15</v>
      </c>
      <c r="M15" t="s">
        <v>133</v>
      </c>
      <c r="N15" t="s">
        <v>28</v>
      </c>
      <c r="O15" t="s">
        <v>24</v>
      </c>
      <c r="P15" t="s">
        <v>228</v>
      </c>
      <c r="Q15" t="s">
        <v>131</v>
      </c>
      <c r="R15" t="s">
        <v>148</v>
      </c>
      <c r="S15" t="s">
        <v>15</v>
      </c>
      <c r="T15" t="s">
        <v>304</v>
      </c>
      <c r="U15" t="s">
        <v>305</v>
      </c>
      <c r="V15" t="s">
        <v>306</v>
      </c>
      <c r="W15" t="s">
        <v>3</v>
      </c>
      <c r="X15" t="s">
        <v>307</v>
      </c>
      <c r="Z15" t="s">
        <v>9</v>
      </c>
      <c r="AA15" t="s">
        <v>14</v>
      </c>
      <c r="AB15" t="s">
        <v>9</v>
      </c>
      <c r="AC15" t="s">
        <v>308</v>
      </c>
      <c r="AE15" t="s">
        <v>309</v>
      </c>
      <c r="AG15" t="s">
        <v>205</v>
      </c>
      <c r="AH15" t="s">
        <v>310</v>
      </c>
      <c r="AI15" t="s">
        <v>311</v>
      </c>
      <c r="AK15" t="s">
        <v>27</v>
      </c>
      <c r="AM15" t="s">
        <v>3</v>
      </c>
      <c r="AN15" t="s">
        <v>127</v>
      </c>
      <c r="AO15" t="s">
        <v>181</v>
      </c>
      <c r="AP15" t="s">
        <v>4</v>
      </c>
    </row>
    <row r="16" spans="1:42" x14ac:dyDescent="0.3">
      <c r="A16" t="s">
        <v>10</v>
      </c>
      <c r="B16" t="s">
        <v>111</v>
      </c>
      <c r="C16" t="s">
        <v>181</v>
      </c>
      <c r="D16" t="s">
        <v>200</v>
      </c>
      <c r="E16" t="s">
        <v>154</v>
      </c>
      <c r="F16" t="s">
        <v>3</v>
      </c>
      <c r="G16" t="s">
        <v>265</v>
      </c>
      <c r="H16" t="s">
        <v>312</v>
      </c>
      <c r="I16" t="s">
        <v>111</v>
      </c>
      <c r="J16" t="s">
        <v>34</v>
      </c>
      <c r="K16" t="s">
        <v>24</v>
      </c>
      <c r="L16" t="s">
        <v>15</v>
      </c>
      <c r="M16" t="s">
        <v>264</v>
      </c>
      <c r="N16" t="s">
        <v>34</v>
      </c>
      <c r="O16" t="s">
        <v>28</v>
      </c>
      <c r="P16" t="s">
        <v>313</v>
      </c>
      <c r="Q16" t="s">
        <v>33</v>
      </c>
      <c r="R16" t="s">
        <v>197</v>
      </c>
      <c r="S16" t="s">
        <v>24</v>
      </c>
      <c r="T16" t="s">
        <v>253</v>
      </c>
      <c r="U16" t="s">
        <v>314</v>
      </c>
      <c r="V16" t="s">
        <v>315</v>
      </c>
      <c r="W16" t="s">
        <v>15</v>
      </c>
      <c r="X16" t="s">
        <v>316</v>
      </c>
      <c r="Z16" t="s">
        <v>9</v>
      </c>
      <c r="AA16" t="s">
        <v>9</v>
      </c>
      <c r="AB16" t="s">
        <v>9</v>
      </c>
      <c r="AC16" t="s">
        <v>317</v>
      </c>
      <c r="AE16" t="s">
        <v>318</v>
      </c>
      <c r="AG16" t="s">
        <v>319</v>
      </c>
      <c r="AH16" t="s">
        <v>320</v>
      </c>
      <c r="AI16" t="s">
        <v>321</v>
      </c>
      <c r="AK16" t="s">
        <v>42</v>
      </c>
      <c r="AM16" t="s">
        <v>15</v>
      </c>
      <c r="AN16" t="s">
        <v>182</v>
      </c>
      <c r="AO16" t="s">
        <v>302</v>
      </c>
      <c r="AP16" t="s">
        <v>4</v>
      </c>
    </row>
    <row r="17" spans="1:42" x14ac:dyDescent="0.3">
      <c r="A17" t="s">
        <v>1</v>
      </c>
      <c r="B17" t="s">
        <v>146</v>
      </c>
      <c r="C17" t="s">
        <v>145</v>
      </c>
      <c r="D17" t="s">
        <v>252</v>
      </c>
      <c r="E17" t="s">
        <v>322</v>
      </c>
      <c r="F17" t="s">
        <v>9</v>
      </c>
      <c r="G17" t="s">
        <v>323</v>
      </c>
      <c r="H17" t="s">
        <v>292</v>
      </c>
      <c r="I17" t="s">
        <v>131</v>
      </c>
      <c r="J17" t="s">
        <v>146</v>
      </c>
      <c r="K17" t="s">
        <v>9</v>
      </c>
      <c r="L17" t="s">
        <v>9</v>
      </c>
      <c r="M17" t="s">
        <v>125</v>
      </c>
      <c r="N17" t="s">
        <v>33</v>
      </c>
      <c r="O17" t="s">
        <v>9</v>
      </c>
      <c r="P17" t="s">
        <v>324</v>
      </c>
      <c r="Q17" t="s">
        <v>42</v>
      </c>
      <c r="R17" t="s">
        <v>325</v>
      </c>
      <c r="S17" t="s">
        <v>14</v>
      </c>
      <c r="T17" t="s">
        <v>326</v>
      </c>
      <c r="U17" t="s">
        <v>327</v>
      </c>
      <c r="V17" t="s">
        <v>328</v>
      </c>
      <c r="W17" t="s">
        <v>9</v>
      </c>
      <c r="X17" t="s">
        <v>329</v>
      </c>
      <c r="Z17" t="s">
        <v>9</v>
      </c>
      <c r="AA17" t="s">
        <v>34</v>
      </c>
      <c r="AB17" t="s">
        <v>33</v>
      </c>
      <c r="AC17" t="s">
        <v>330</v>
      </c>
      <c r="AE17" t="s">
        <v>331</v>
      </c>
      <c r="AG17" t="s">
        <v>332</v>
      </c>
      <c r="AH17" t="s">
        <v>333</v>
      </c>
      <c r="AI17" t="s">
        <v>334</v>
      </c>
      <c r="AK17" t="s">
        <v>34</v>
      </c>
      <c r="AM17" t="s">
        <v>3</v>
      </c>
      <c r="AN17" t="s">
        <v>227</v>
      </c>
      <c r="AO17" t="s">
        <v>108</v>
      </c>
      <c r="AP17" t="s">
        <v>4</v>
      </c>
    </row>
    <row r="18" spans="1:42" x14ac:dyDescent="0.3">
      <c r="A18" t="s">
        <v>11</v>
      </c>
      <c r="B18" t="s">
        <v>146</v>
      </c>
      <c r="C18" t="s">
        <v>145</v>
      </c>
      <c r="D18" t="s">
        <v>124</v>
      </c>
      <c r="E18" t="s">
        <v>172</v>
      </c>
      <c r="F18" t="s">
        <v>14</v>
      </c>
      <c r="G18" t="s">
        <v>335</v>
      </c>
      <c r="H18" t="s">
        <v>292</v>
      </c>
      <c r="I18" t="s">
        <v>42</v>
      </c>
      <c r="J18" t="s">
        <v>28</v>
      </c>
      <c r="K18" t="s">
        <v>14</v>
      </c>
      <c r="L18" t="s">
        <v>3</v>
      </c>
      <c r="M18" t="s">
        <v>336</v>
      </c>
      <c r="N18" t="s">
        <v>28</v>
      </c>
      <c r="O18" t="s">
        <v>9</v>
      </c>
      <c r="P18" t="s">
        <v>198</v>
      </c>
      <c r="Q18" t="s">
        <v>146</v>
      </c>
      <c r="R18" t="s">
        <v>166</v>
      </c>
      <c r="S18" t="s">
        <v>185</v>
      </c>
      <c r="T18" t="s">
        <v>337</v>
      </c>
      <c r="U18" t="s">
        <v>338</v>
      </c>
      <c r="V18" t="s">
        <v>339</v>
      </c>
      <c r="W18" t="s">
        <v>15</v>
      </c>
      <c r="X18" t="s">
        <v>139</v>
      </c>
      <c r="Z18" t="s">
        <v>24</v>
      </c>
      <c r="AA18" t="s">
        <v>33</v>
      </c>
      <c r="AB18" t="s">
        <v>24</v>
      </c>
      <c r="AC18" t="s">
        <v>340</v>
      </c>
      <c r="AE18" t="s">
        <v>341</v>
      </c>
      <c r="AG18" t="s">
        <v>342</v>
      </c>
      <c r="AH18" t="s">
        <v>343</v>
      </c>
      <c r="AI18" t="s">
        <v>344</v>
      </c>
      <c r="AK18" t="s">
        <v>27</v>
      </c>
      <c r="AM18" t="s">
        <v>9</v>
      </c>
      <c r="AN18" t="s">
        <v>345</v>
      </c>
      <c r="AO18" t="s">
        <v>303</v>
      </c>
      <c r="AP18" t="s">
        <v>4</v>
      </c>
    </row>
    <row r="19" spans="1:42" x14ac:dyDescent="0.3">
      <c r="A19" t="s">
        <v>19</v>
      </c>
      <c r="B19" t="s">
        <v>34</v>
      </c>
      <c r="C19" t="s">
        <v>145</v>
      </c>
      <c r="D19" t="s">
        <v>291</v>
      </c>
      <c r="E19" t="s">
        <v>237</v>
      </c>
      <c r="F19" t="s">
        <v>27</v>
      </c>
      <c r="G19" t="s">
        <v>346</v>
      </c>
      <c r="H19" t="s">
        <v>347</v>
      </c>
      <c r="I19" t="s">
        <v>111</v>
      </c>
      <c r="J19" t="s">
        <v>28</v>
      </c>
      <c r="K19" t="s">
        <v>27</v>
      </c>
      <c r="L19" t="s">
        <v>3</v>
      </c>
      <c r="M19" t="s">
        <v>114</v>
      </c>
      <c r="N19" t="s">
        <v>33</v>
      </c>
      <c r="O19" t="s">
        <v>9</v>
      </c>
      <c r="P19" t="s">
        <v>254</v>
      </c>
      <c r="Q19" t="s">
        <v>111</v>
      </c>
      <c r="R19" t="s">
        <v>105</v>
      </c>
      <c r="S19" t="s">
        <v>24</v>
      </c>
      <c r="T19" t="s">
        <v>348</v>
      </c>
      <c r="U19" t="s">
        <v>349</v>
      </c>
      <c r="V19" t="s">
        <v>350</v>
      </c>
      <c r="W19" t="s">
        <v>15</v>
      </c>
      <c r="X19" t="s">
        <v>351</v>
      </c>
      <c r="Z19" t="s">
        <v>9</v>
      </c>
      <c r="AA19" t="s">
        <v>33</v>
      </c>
      <c r="AB19" t="s">
        <v>24</v>
      </c>
      <c r="AC19" t="s">
        <v>352</v>
      </c>
      <c r="AE19" t="s">
        <v>353</v>
      </c>
      <c r="AG19" t="s">
        <v>354</v>
      </c>
      <c r="AH19" t="s">
        <v>333</v>
      </c>
      <c r="AI19" t="s">
        <v>355</v>
      </c>
      <c r="AK19" t="s">
        <v>33</v>
      </c>
      <c r="AM19" t="s">
        <v>9</v>
      </c>
      <c r="AN19" t="s">
        <v>356</v>
      </c>
      <c r="AO19" t="s">
        <v>185</v>
      </c>
      <c r="AP19" t="s">
        <v>4</v>
      </c>
    </row>
    <row r="20" spans="1:42" x14ac:dyDescent="0.3">
      <c r="A20" t="s">
        <v>23</v>
      </c>
      <c r="B20" t="s">
        <v>34</v>
      </c>
      <c r="C20" t="s">
        <v>151</v>
      </c>
      <c r="D20" t="s">
        <v>200</v>
      </c>
      <c r="E20" t="s">
        <v>237</v>
      </c>
      <c r="F20" t="s">
        <v>14</v>
      </c>
      <c r="G20" t="s">
        <v>357</v>
      </c>
      <c r="H20" t="s">
        <v>228</v>
      </c>
      <c r="I20" t="s">
        <v>34</v>
      </c>
      <c r="J20" t="s">
        <v>34</v>
      </c>
      <c r="K20" t="s">
        <v>14</v>
      </c>
      <c r="L20" t="s">
        <v>3</v>
      </c>
      <c r="M20" t="s">
        <v>264</v>
      </c>
      <c r="N20" t="s">
        <v>34</v>
      </c>
      <c r="O20" t="s">
        <v>15</v>
      </c>
      <c r="P20" t="s">
        <v>358</v>
      </c>
      <c r="Q20" t="s">
        <v>33</v>
      </c>
      <c r="R20" t="s">
        <v>105</v>
      </c>
      <c r="S20" t="s">
        <v>109</v>
      </c>
      <c r="T20" t="s">
        <v>359</v>
      </c>
      <c r="U20" t="s">
        <v>310</v>
      </c>
      <c r="V20" t="s">
        <v>360</v>
      </c>
      <c r="W20" t="s">
        <v>15</v>
      </c>
      <c r="X20" t="s">
        <v>243</v>
      </c>
      <c r="Z20" t="s">
        <v>9</v>
      </c>
      <c r="AA20" t="s">
        <v>34</v>
      </c>
      <c r="AB20" t="s">
        <v>28</v>
      </c>
      <c r="AC20" t="s">
        <v>361</v>
      </c>
      <c r="AE20" t="s">
        <v>362</v>
      </c>
      <c r="AG20" t="s">
        <v>363</v>
      </c>
      <c r="AH20" t="s">
        <v>364</v>
      </c>
      <c r="AI20" t="s">
        <v>365</v>
      </c>
      <c r="AK20" t="s">
        <v>28</v>
      </c>
      <c r="AM20" t="s">
        <v>3</v>
      </c>
      <c r="AN20" t="s">
        <v>249</v>
      </c>
      <c r="AO20" t="s">
        <v>135</v>
      </c>
      <c r="AP20" t="s">
        <v>4</v>
      </c>
    </row>
    <row r="21" spans="1:42" x14ac:dyDescent="0.3">
      <c r="A21" t="s">
        <v>8</v>
      </c>
      <c r="B21" t="s">
        <v>24</v>
      </c>
      <c r="C21" t="s">
        <v>145</v>
      </c>
      <c r="D21" t="s">
        <v>303</v>
      </c>
      <c r="E21" t="s">
        <v>249</v>
      </c>
      <c r="F21" t="s">
        <v>9</v>
      </c>
      <c r="G21" t="s">
        <v>346</v>
      </c>
      <c r="H21" t="s">
        <v>366</v>
      </c>
      <c r="I21" t="s">
        <v>146</v>
      </c>
      <c r="J21" t="s">
        <v>27</v>
      </c>
      <c r="K21" t="s">
        <v>14</v>
      </c>
      <c r="L21" t="s">
        <v>15</v>
      </c>
      <c r="M21" t="s">
        <v>126</v>
      </c>
      <c r="N21" t="s">
        <v>24</v>
      </c>
      <c r="O21" t="s">
        <v>15</v>
      </c>
      <c r="P21" t="s">
        <v>326</v>
      </c>
      <c r="Q21" t="s">
        <v>42</v>
      </c>
      <c r="R21" t="s">
        <v>166</v>
      </c>
      <c r="S21" t="s">
        <v>181</v>
      </c>
      <c r="T21" t="s">
        <v>367</v>
      </c>
      <c r="U21" t="s">
        <v>294</v>
      </c>
      <c r="V21" t="s">
        <v>368</v>
      </c>
      <c r="W21" t="s">
        <v>3</v>
      </c>
      <c r="X21" t="s">
        <v>369</v>
      </c>
      <c r="Z21" t="s">
        <v>24</v>
      </c>
      <c r="AA21" t="s">
        <v>28</v>
      </c>
      <c r="AB21" t="s">
        <v>24</v>
      </c>
      <c r="AC21" t="s">
        <v>370</v>
      </c>
      <c r="AE21" t="s">
        <v>371</v>
      </c>
      <c r="AG21" t="s">
        <v>372</v>
      </c>
      <c r="AH21" t="s">
        <v>373</v>
      </c>
      <c r="AI21" t="s">
        <v>374</v>
      </c>
      <c r="AK21" t="s">
        <v>14</v>
      </c>
      <c r="AM21" t="s">
        <v>15</v>
      </c>
      <c r="AN21" t="s">
        <v>165</v>
      </c>
      <c r="AO21" t="s">
        <v>151</v>
      </c>
      <c r="AP21" t="s">
        <v>4</v>
      </c>
    </row>
    <row r="22" spans="1:42" x14ac:dyDescent="0.3">
      <c r="A22" t="s">
        <v>22</v>
      </c>
      <c r="B22" t="s">
        <v>114</v>
      </c>
      <c r="C22" t="s">
        <v>24</v>
      </c>
      <c r="D22" t="s">
        <v>112</v>
      </c>
      <c r="E22" t="s">
        <v>163</v>
      </c>
      <c r="F22" t="s">
        <v>9</v>
      </c>
      <c r="G22" t="s">
        <v>375</v>
      </c>
      <c r="H22" t="s">
        <v>376</v>
      </c>
      <c r="I22" t="s">
        <v>113</v>
      </c>
      <c r="J22" t="s">
        <v>109</v>
      </c>
      <c r="K22" t="s">
        <v>28</v>
      </c>
      <c r="L22" t="s">
        <v>28</v>
      </c>
      <c r="M22" t="s">
        <v>127</v>
      </c>
      <c r="N22" t="s">
        <v>113</v>
      </c>
      <c r="O22" t="s">
        <v>33</v>
      </c>
      <c r="P22" t="s">
        <v>377</v>
      </c>
      <c r="Q22" t="s">
        <v>108</v>
      </c>
      <c r="R22" t="s">
        <v>135</v>
      </c>
      <c r="S22" t="s">
        <v>9</v>
      </c>
      <c r="T22" t="s">
        <v>254</v>
      </c>
      <c r="U22" t="s">
        <v>378</v>
      </c>
      <c r="V22" t="s">
        <v>379</v>
      </c>
      <c r="W22" t="s">
        <v>9</v>
      </c>
      <c r="X22" t="s">
        <v>380</v>
      </c>
      <c r="Y22" t="s">
        <v>381</v>
      </c>
      <c r="Z22" t="s">
        <v>15</v>
      </c>
      <c r="AA22" t="s">
        <v>3</v>
      </c>
      <c r="AB22" t="s">
        <v>3</v>
      </c>
      <c r="AC22" t="s">
        <v>382</v>
      </c>
      <c r="AD22" t="s">
        <v>383</v>
      </c>
      <c r="AE22" t="s">
        <v>384</v>
      </c>
      <c r="AG22" t="s">
        <v>295</v>
      </c>
      <c r="AH22" t="s">
        <v>385</v>
      </c>
      <c r="AI22" t="s">
        <v>386</v>
      </c>
      <c r="AK22" t="s">
        <v>146</v>
      </c>
      <c r="AL22" t="s">
        <v>387</v>
      </c>
      <c r="AM22" t="s">
        <v>15</v>
      </c>
      <c r="AN22" t="s">
        <v>197</v>
      </c>
      <c r="AO22" t="s">
        <v>133</v>
      </c>
      <c r="AP22" t="s">
        <v>30</v>
      </c>
    </row>
    <row r="23" spans="1:42" x14ac:dyDescent="0.3">
      <c r="A23" t="s">
        <v>25</v>
      </c>
      <c r="B23" t="s">
        <v>125</v>
      </c>
      <c r="C23" t="s">
        <v>14</v>
      </c>
      <c r="D23" t="s">
        <v>154</v>
      </c>
      <c r="E23" t="s">
        <v>165</v>
      </c>
      <c r="F23" t="s">
        <v>24</v>
      </c>
      <c r="G23" t="s">
        <v>388</v>
      </c>
      <c r="H23" t="s">
        <v>389</v>
      </c>
      <c r="I23" t="s">
        <v>109</v>
      </c>
      <c r="J23" t="s">
        <v>146</v>
      </c>
      <c r="K23" t="s">
        <v>33</v>
      </c>
      <c r="L23" t="s">
        <v>3</v>
      </c>
      <c r="M23" t="s">
        <v>202</v>
      </c>
      <c r="N23" t="s">
        <v>185</v>
      </c>
      <c r="O23" t="s">
        <v>14</v>
      </c>
      <c r="P23" t="s">
        <v>188</v>
      </c>
      <c r="Q23" t="s">
        <v>108</v>
      </c>
      <c r="R23" t="s">
        <v>302</v>
      </c>
      <c r="S23" t="s">
        <v>27</v>
      </c>
      <c r="T23" t="s">
        <v>203</v>
      </c>
      <c r="U23" t="s">
        <v>390</v>
      </c>
      <c r="V23" t="s">
        <v>328</v>
      </c>
      <c r="W23" t="s">
        <v>27</v>
      </c>
      <c r="X23" t="s">
        <v>391</v>
      </c>
      <c r="Y23" t="s">
        <v>392</v>
      </c>
      <c r="Z23" t="s">
        <v>15</v>
      </c>
      <c r="AA23" t="s">
        <v>14</v>
      </c>
      <c r="AB23" t="s">
        <v>14</v>
      </c>
      <c r="AC23" t="s">
        <v>393</v>
      </c>
      <c r="AD23" t="s">
        <v>337</v>
      </c>
      <c r="AE23" t="s">
        <v>394</v>
      </c>
      <c r="AG23" t="s">
        <v>395</v>
      </c>
      <c r="AH23" t="s">
        <v>396</v>
      </c>
      <c r="AI23" t="s">
        <v>397</v>
      </c>
      <c r="AK23" t="s">
        <v>34</v>
      </c>
      <c r="AL23" t="s">
        <v>398</v>
      </c>
      <c r="AM23" t="s">
        <v>15</v>
      </c>
      <c r="AN23" t="s">
        <v>128</v>
      </c>
      <c r="AO23" t="s">
        <v>164</v>
      </c>
      <c r="AP23" t="s">
        <v>30</v>
      </c>
    </row>
    <row r="24" spans="1:42" x14ac:dyDescent="0.3">
      <c r="A24" t="s">
        <v>5</v>
      </c>
      <c r="B24" t="s">
        <v>126</v>
      </c>
      <c r="C24" t="s">
        <v>14</v>
      </c>
      <c r="D24" t="s">
        <v>136</v>
      </c>
      <c r="E24" t="s">
        <v>325</v>
      </c>
      <c r="F24" t="s">
        <v>14</v>
      </c>
      <c r="G24" t="s">
        <v>387</v>
      </c>
      <c r="H24" t="s">
        <v>247</v>
      </c>
      <c r="I24" t="s">
        <v>185</v>
      </c>
      <c r="J24" t="s">
        <v>131</v>
      </c>
      <c r="K24" t="s">
        <v>24</v>
      </c>
      <c r="L24" t="s">
        <v>3</v>
      </c>
      <c r="M24" t="s">
        <v>154</v>
      </c>
      <c r="N24" t="s">
        <v>42</v>
      </c>
      <c r="O24" t="s">
        <v>33</v>
      </c>
      <c r="P24" t="s">
        <v>304</v>
      </c>
      <c r="Q24" t="s">
        <v>151</v>
      </c>
      <c r="R24" t="s">
        <v>336</v>
      </c>
      <c r="S24" t="s">
        <v>15</v>
      </c>
      <c r="T24" t="s">
        <v>337</v>
      </c>
      <c r="U24" t="s">
        <v>399</v>
      </c>
      <c r="V24" t="s">
        <v>400</v>
      </c>
      <c r="W24" t="s">
        <v>3</v>
      </c>
      <c r="X24" t="s">
        <v>401</v>
      </c>
      <c r="Y24" t="s">
        <v>402</v>
      </c>
      <c r="Z24" t="s">
        <v>9</v>
      </c>
      <c r="AA24" t="s">
        <v>27</v>
      </c>
      <c r="AB24" t="s">
        <v>14</v>
      </c>
      <c r="AC24" t="s">
        <v>403</v>
      </c>
      <c r="AD24" t="s">
        <v>282</v>
      </c>
      <c r="AE24" t="s">
        <v>404</v>
      </c>
      <c r="AG24" t="s">
        <v>405</v>
      </c>
      <c r="AH24" t="s">
        <v>305</v>
      </c>
      <c r="AI24" t="s">
        <v>406</v>
      </c>
      <c r="AK24" t="s">
        <v>9</v>
      </c>
      <c r="AL24" t="s">
        <v>407</v>
      </c>
      <c r="AM24" t="s">
        <v>3</v>
      </c>
      <c r="AN24" t="s">
        <v>249</v>
      </c>
      <c r="AO24" t="s">
        <v>302</v>
      </c>
      <c r="AP24" t="s">
        <v>30</v>
      </c>
    </row>
    <row r="25" spans="1:42" x14ac:dyDescent="0.3">
      <c r="A25" t="s">
        <v>2</v>
      </c>
      <c r="B25" t="s">
        <v>108</v>
      </c>
      <c r="C25" t="s">
        <v>27</v>
      </c>
      <c r="D25" t="s">
        <v>408</v>
      </c>
      <c r="E25" t="s">
        <v>249</v>
      </c>
      <c r="F25" t="s">
        <v>3</v>
      </c>
      <c r="G25" t="s">
        <v>409</v>
      </c>
      <c r="H25" t="s">
        <v>150</v>
      </c>
      <c r="I25" t="s">
        <v>185</v>
      </c>
      <c r="J25" t="s">
        <v>33</v>
      </c>
      <c r="K25" t="s">
        <v>24</v>
      </c>
      <c r="L25" t="s">
        <v>9</v>
      </c>
      <c r="M25" t="s">
        <v>163</v>
      </c>
      <c r="N25" t="s">
        <v>113</v>
      </c>
      <c r="O25" t="s">
        <v>33</v>
      </c>
      <c r="P25" t="s">
        <v>410</v>
      </c>
      <c r="Q25" t="s">
        <v>269</v>
      </c>
      <c r="R25" t="s">
        <v>103</v>
      </c>
      <c r="S25" t="s">
        <v>15</v>
      </c>
      <c r="T25" t="s">
        <v>104</v>
      </c>
      <c r="U25" t="s">
        <v>411</v>
      </c>
      <c r="V25" t="s">
        <v>412</v>
      </c>
      <c r="W25" t="s">
        <v>9</v>
      </c>
      <c r="X25" t="s">
        <v>413</v>
      </c>
      <c r="Y25" t="s">
        <v>414</v>
      </c>
      <c r="Z25" t="s">
        <v>9</v>
      </c>
      <c r="AA25" t="s">
        <v>24</v>
      </c>
      <c r="AB25" t="s">
        <v>27</v>
      </c>
      <c r="AC25" t="s">
        <v>415</v>
      </c>
      <c r="AD25" t="s">
        <v>147</v>
      </c>
      <c r="AE25" t="s">
        <v>416</v>
      </c>
      <c r="AG25" t="s">
        <v>417</v>
      </c>
      <c r="AH25" t="s">
        <v>418</v>
      </c>
      <c r="AI25" t="s">
        <v>419</v>
      </c>
      <c r="AK25" t="s">
        <v>27</v>
      </c>
      <c r="AL25" t="s">
        <v>420</v>
      </c>
      <c r="AM25" t="s">
        <v>3</v>
      </c>
      <c r="AN25" t="s">
        <v>214</v>
      </c>
      <c r="AO25" t="s">
        <v>135</v>
      </c>
      <c r="AP25" t="s">
        <v>30</v>
      </c>
    </row>
    <row r="26" spans="1:42" x14ac:dyDescent="0.3">
      <c r="A26" t="s">
        <v>7</v>
      </c>
      <c r="B26" t="s">
        <v>164</v>
      </c>
      <c r="C26" t="s">
        <v>111</v>
      </c>
      <c r="D26" t="s">
        <v>325</v>
      </c>
      <c r="E26" t="s">
        <v>421</v>
      </c>
      <c r="F26" t="s">
        <v>14</v>
      </c>
      <c r="G26" t="s">
        <v>335</v>
      </c>
      <c r="H26" t="s">
        <v>422</v>
      </c>
      <c r="I26" t="s">
        <v>27</v>
      </c>
      <c r="J26" t="s">
        <v>185</v>
      </c>
      <c r="K26" t="s">
        <v>3</v>
      </c>
      <c r="L26" t="s">
        <v>3</v>
      </c>
      <c r="M26" t="s">
        <v>182</v>
      </c>
      <c r="N26" t="s">
        <v>33</v>
      </c>
      <c r="O26" t="s">
        <v>33</v>
      </c>
      <c r="P26" t="s">
        <v>172</v>
      </c>
      <c r="Q26" t="s">
        <v>131</v>
      </c>
      <c r="R26" t="s">
        <v>423</v>
      </c>
      <c r="S26" t="s">
        <v>15</v>
      </c>
      <c r="T26" t="s">
        <v>347</v>
      </c>
      <c r="U26" t="s">
        <v>424</v>
      </c>
      <c r="V26" t="s">
        <v>425</v>
      </c>
      <c r="W26" t="s">
        <v>9</v>
      </c>
      <c r="X26" t="s">
        <v>426</v>
      </c>
      <c r="Y26" t="s">
        <v>427</v>
      </c>
      <c r="Z26" t="s">
        <v>3</v>
      </c>
      <c r="AA26" t="s">
        <v>27</v>
      </c>
      <c r="AB26" t="s">
        <v>27</v>
      </c>
      <c r="AC26" t="s">
        <v>428</v>
      </c>
      <c r="AD26" t="s">
        <v>103</v>
      </c>
      <c r="AE26" t="s">
        <v>429</v>
      </c>
      <c r="AG26" t="s">
        <v>430</v>
      </c>
      <c r="AH26" t="s">
        <v>310</v>
      </c>
      <c r="AI26" t="s">
        <v>431</v>
      </c>
      <c r="AK26" t="s">
        <v>34</v>
      </c>
      <c r="AL26" t="s">
        <v>432</v>
      </c>
      <c r="AM26" t="s">
        <v>15</v>
      </c>
      <c r="AN26" t="s">
        <v>325</v>
      </c>
      <c r="AO26" t="s">
        <v>145</v>
      </c>
      <c r="AP26" t="s">
        <v>30</v>
      </c>
    </row>
    <row r="27" spans="1:42" x14ac:dyDescent="0.3">
      <c r="A27" t="s">
        <v>6</v>
      </c>
      <c r="B27" t="s">
        <v>113</v>
      </c>
      <c r="C27" t="s">
        <v>146</v>
      </c>
      <c r="D27" t="s">
        <v>433</v>
      </c>
      <c r="E27" t="s">
        <v>187</v>
      </c>
      <c r="F27" t="s">
        <v>27</v>
      </c>
      <c r="G27" t="s">
        <v>434</v>
      </c>
      <c r="H27" t="s">
        <v>435</v>
      </c>
      <c r="I27" t="s">
        <v>111</v>
      </c>
      <c r="J27" t="s">
        <v>113</v>
      </c>
      <c r="K27" t="s">
        <v>28</v>
      </c>
      <c r="L27" t="s">
        <v>24</v>
      </c>
      <c r="M27" t="s">
        <v>325</v>
      </c>
      <c r="N27" t="s">
        <v>113</v>
      </c>
      <c r="O27" t="s">
        <v>14</v>
      </c>
      <c r="P27" t="s">
        <v>293</v>
      </c>
      <c r="Q27" t="s">
        <v>42</v>
      </c>
      <c r="R27" t="s">
        <v>163</v>
      </c>
      <c r="S27" t="s">
        <v>14</v>
      </c>
      <c r="T27" t="s">
        <v>436</v>
      </c>
      <c r="U27" t="s">
        <v>280</v>
      </c>
      <c r="V27" t="s">
        <v>437</v>
      </c>
      <c r="W27" t="s">
        <v>15</v>
      </c>
      <c r="X27" t="s">
        <v>438</v>
      </c>
      <c r="Y27" t="s">
        <v>439</v>
      </c>
      <c r="Z27" t="s">
        <v>14</v>
      </c>
      <c r="AA27" t="s">
        <v>27</v>
      </c>
      <c r="AB27" t="s">
        <v>9</v>
      </c>
      <c r="AC27" t="s">
        <v>440</v>
      </c>
      <c r="AD27" t="s">
        <v>264</v>
      </c>
      <c r="AE27" t="s">
        <v>441</v>
      </c>
      <c r="AG27" t="s">
        <v>417</v>
      </c>
      <c r="AH27" t="s">
        <v>442</v>
      </c>
      <c r="AI27" t="s">
        <v>443</v>
      </c>
      <c r="AK27" t="s">
        <v>28</v>
      </c>
      <c r="AL27" t="s">
        <v>444</v>
      </c>
      <c r="AM27" t="s">
        <v>9</v>
      </c>
      <c r="AN27" t="s">
        <v>421</v>
      </c>
      <c r="AO27" t="s">
        <v>131</v>
      </c>
      <c r="AP27" t="s">
        <v>30</v>
      </c>
    </row>
    <row r="28" spans="1:42" x14ac:dyDescent="0.3">
      <c r="A28" t="s">
        <v>12</v>
      </c>
      <c r="B28" t="s">
        <v>113</v>
      </c>
      <c r="C28" t="s">
        <v>185</v>
      </c>
      <c r="D28" t="s">
        <v>182</v>
      </c>
      <c r="E28" t="s">
        <v>325</v>
      </c>
      <c r="F28" t="s">
        <v>14</v>
      </c>
      <c r="G28" t="s">
        <v>445</v>
      </c>
      <c r="H28" t="s">
        <v>446</v>
      </c>
      <c r="I28" t="s">
        <v>42</v>
      </c>
      <c r="J28" t="s">
        <v>27</v>
      </c>
      <c r="K28" t="s">
        <v>27</v>
      </c>
      <c r="L28" t="s">
        <v>9</v>
      </c>
      <c r="M28" t="s">
        <v>171</v>
      </c>
      <c r="N28" t="s">
        <v>185</v>
      </c>
      <c r="O28" t="s">
        <v>28</v>
      </c>
      <c r="P28" t="s">
        <v>201</v>
      </c>
      <c r="Q28" t="s">
        <v>113</v>
      </c>
      <c r="R28" t="s">
        <v>421</v>
      </c>
      <c r="S28" t="s">
        <v>27</v>
      </c>
      <c r="T28" t="s">
        <v>447</v>
      </c>
      <c r="U28" t="s">
        <v>448</v>
      </c>
      <c r="V28" t="s">
        <v>449</v>
      </c>
      <c r="W28" t="s">
        <v>3</v>
      </c>
      <c r="X28" t="s">
        <v>450</v>
      </c>
      <c r="Y28" t="s">
        <v>451</v>
      </c>
      <c r="Z28" t="s">
        <v>14</v>
      </c>
      <c r="AA28" t="s">
        <v>27</v>
      </c>
      <c r="AB28" t="s">
        <v>9</v>
      </c>
      <c r="AC28" t="s">
        <v>452</v>
      </c>
      <c r="AD28" t="s">
        <v>124</v>
      </c>
      <c r="AE28" t="s">
        <v>453</v>
      </c>
      <c r="AG28" t="s">
        <v>454</v>
      </c>
      <c r="AH28" t="s">
        <v>184</v>
      </c>
      <c r="AI28" t="s">
        <v>455</v>
      </c>
      <c r="AK28" t="s">
        <v>27</v>
      </c>
      <c r="AL28" t="s">
        <v>456</v>
      </c>
      <c r="AM28" t="s">
        <v>9</v>
      </c>
      <c r="AN28" t="s">
        <v>224</v>
      </c>
      <c r="AO28" t="s">
        <v>103</v>
      </c>
      <c r="AP28" t="s">
        <v>30</v>
      </c>
    </row>
    <row r="29" spans="1:42" x14ac:dyDescent="0.3">
      <c r="A29" t="s">
        <v>13</v>
      </c>
      <c r="B29" t="s">
        <v>151</v>
      </c>
      <c r="C29" t="s">
        <v>146</v>
      </c>
      <c r="D29" t="s">
        <v>356</v>
      </c>
      <c r="E29" t="s">
        <v>110</v>
      </c>
      <c r="F29" t="s">
        <v>28</v>
      </c>
      <c r="G29" t="s">
        <v>457</v>
      </c>
      <c r="H29" t="s">
        <v>458</v>
      </c>
      <c r="I29" t="s">
        <v>131</v>
      </c>
      <c r="J29" t="s">
        <v>111</v>
      </c>
      <c r="K29" t="s">
        <v>24</v>
      </c>
      <c r="L29" t="s">
        <v>3</v>
      </c>
      <c r="M29" t="s">
        <v>421</v>
      </c>
      <c r="N29" t="s">
        <v>146</v>
      </c>
      <c r="O29" t="s">
        <v>14</v>
      </c>
      <c r="P29" t="s">
        <v>201</v>
      </c>
      <c r="Q29" t="s">
        <v>34</v>
      </c>
      <c r="R29" t="s">
        <v>182</v>
      </c>
      <c r="S29" t="s">
        <v>15</v>
      </c>
      <c r="T29" t="s">
        <v>459</v>
      </c>
      <c r="U29" t="s">
        <v>460</v>
      </c>
      <c r="V29" t="s">
        <v>461</v>
      </c>
      <c r="W29" t="s">
        <v>14</v>
      </c>
      <c r="X29" t="s">
        <v>462</v>
      </c>
      <c r="Y29" t="s">
        <v>463</v>
      </c>
      <c r="Z29" t="s">
        <v>3</v>
      </c>
      <c r="AA29" t="s">
        <v>28</v>
      </c>
      <c r="AB29" t="s">
        <v>27</v>
      </c>
      <c r="AC29" t="s">
        <v>464</v>
      </c>
      <c r="AD29" t="s">
        <v>336</v>
      </c>
      <c r="AE29" t="s">
        <v>465</v>
      </c>
      <c r="AG29" t="s">
        <v>466</v>
      </c>
      <c r="AH29" t="s">
        <v>287</v>
      </c>
      <c r="AI29" t="s">
        <v>467</v>
      </c>
      <c r="AK29" t="s">
        <v>24</v>
      </c>
      <c r="AL29" t="s">
        <v>468</v>
      </c>
      <c r="AM29" t="s">
        <v>9</v>
      </c>
      <c r="AN29" t="s">
        <v>166</v>
      </c>
      <c r="AO29" t="s">
        <v>114</v>
      </c>
      <c r="AP29" t="s">
        <v>30</v>
      </c>
    </row>
    <row r="30" spans="1:42" x14ac:dyDescent="0.3">
      <c r="A30" t="s">
        <v>26</v>
      </c>
      <c r="B30" t="s">
        <v>151</v>
      </c>
      <c r="C30" t="s">
        <v>185</v>
      </c>
      <c r="D30" t="s">
        <v>249</v>
      </c>
      <c r="E30" t="s">
        <v>356</v>
      </c>
      <c r="F30" t="s">
        <v>27</v>
      </c>
      <c r="G30" t="s">
        <v>469</v>
      </c>
      <c r="H30" t="s">
        <v>470</v>
      </c>
      <c r="I30" t="s">
        <v>24</v>
      </c>
      <c r="J30" t="s">
        <v>24</v>
      </c>
      <c r="K30" t="s">
        <v>9</v>
      </c>
      <c r="L30" t="s">
        <v>9</v>
      </c>
      <c r="M30" t="s">
        <v>291</v>
      </c>
      <c r="N30" t="s">
        <v>111</v>
      </c>
      <c r="O30" t="s">
        <v>14</v>
      </c>
      <c r="P30" t="s">
        <v>471</v>
      </c>
      <c r="Q30" t="s">
        <v>111</v>
      </c>
      <c r="R30" t="s">
        <v>169</v>
      </c>
      <c r="S30" t="s">
        <v>27</v>
      </c>
      <c r="T30" t="s">
        <v>472</v>
      </c>
      <c r="U30" t="s">
        <v>473</v>
      </c>
      <c r="V30" t="s">
        <v>474</v>
      </c>
      <c r="W30" t="s">
        <v>14</v>
      </c>
      <c r="X30" t="s">
        <v>475</v>
      </c>
      <c r="Y30" t="s">
        <v>476</v>
      </c>
      <c r="Z30" t="s">
        <v>9</v>
      </c>
      <c r="AA30" t="s">
        <v>27</v>
      </c>
      <c r="AB30" t="s">
        <v>9</v>
      </c>
      <c r="AC30" t="s">
        <v>477</v>
      </c>
      <c r="AD30" t="s">
        <v>249</v>
      </c>
      <c r="AE30" t="s">
        <v>478</v>
      </c>
      <c r="AG30" t="s">
        <v>479</v>
      </c>
      <c r="AH30" t="s">
        <v>480</v>
      </c>
      <c r="AI30" t="s">
        <v>481</v>
      </c>
      <c r="AK30" t="s">
        <v>33</v>
      </c>
      <c r="AL30" t="s">
        <v>445</v>
      </c>
      <c r="AM30" t="s">
        <v>9</v>
      </c>
      <c r="AN30" t="s">
        <v>249</v>
      </c>
      <c r="AO30" t="s">
        <v>227</v>
      </c>
      <c r="AP30" t="s">
        <v>30</v>
      </c>
    </row>
    <row r="31" spans="1:42" x14ac:dyDescent="0.3">
      <c r="A31" t="s">
        <v>18</v>
      </c>
      <c r="B31" t="s">
        <v>185</v>
      </c>
      <c r="C31" t="s">
        <v>151</v>
      </c>
      <c r="D31" t="s">
        <v>214</v>
      </c>
      <c r="E31" t="s">
        <v>165</v>
      </c>
      <c r="F31" t="s">
        <v>3</v>
      </c>
      <c r="G31" t="s">
        <v>482</v>
      </c>
      <c r="H31" t="s">
        <v>290</v>
      </c>
      <c r="I31" t="s">
        <v>151</v>
      </c>
      <c r="J31" t="s">
        <v>33</v>
      </c>
      <c r="K31" t="s">
        <v>9</v>
      </c>
      <c r="L31" t="s">
        <v>9</v>
      </c>
      <c r="M31" t="s">
        <v>291</v>
      </c>
      <c r="N31" t="s">
        <v>34</v>
      </c>
      <c r="O31" t="s">
        <v>14</v>
      </c>
      <c r="P31" t="s">
        <v>367</v>
      </c>
      <c r="Q31" t="s">
        <v>34</v>
      </c>
      <c r="R31" t="s">
        <v>356</v>
      </c>
      <c r="S31" t="s">
        <v>3</v>
      </c>
      <c r="T31" t="s">
        <v>228</v>
      </c>
      <c r="U31" t="s">
        <v>483</v>
      </c>
      <c r="V31" t="s">
        <v>484</v>
      </c>
      <c r="W31" t="s">
        <v>3</v>
      </c>
      <c r="X31" t="s">
        <v>413</v>
      </c>
      <c r="Y31" t="s">
        <v>379</v>
      </c>
      <c r="Z31" t="s">
        <v>3</v>
      </c>
      <c r="AA31" t="s">
        <v>28</v>
      </c>
      <c r="AB31" t="s">
        <v>9</v>
      </c>
      <c r="AC31" t="s">
        <v>485</v>
      </c>
      <c r="AD31" t="s">
        <v>486</v>
      </c>
      <c r="AE31" t="s">
        <v>487</v>
      </c>
      <c r="AG31" t="s">
        <v>488</v>
      </c>
      <c r="AH31" t="s">
        <v>489</v>
      </c>
      <c r="AI31" t="s">
        <v>490</v>
      </c>
      <c r="AK31" t="s">
        <v>34</v>
      </c>
      <c r="AL31" t="s">
        <v>434</v>
      </c>
      <c r="AM31" t="s">
        <v>14</v>
      </c>
      <c r="AN31" t="s">
        <v>224</v>
      </c>
      <c r="AO31" t="s">
        <v>164</v>
      </c>
      <c r="AP31" t="s">
        <v>30</v>
      </c>
    </row>
    <row r="32" spans="1:42" x14ac:dyDescent="0.3">
      <c r="A32" t="s">
        <v>10</v>
      </c>
      <c r="B32" t="s">
        <v>111</v>
      </c>
      <c r="C32" t="s">
        <v>181</v>
      </c>
      <c r="D32" t="s">
        <v>249</v>
      </c>
      <c r="E32" t="s">
        <v>165</v>
      </c>
      <c r="F32" t="s">
        <v>3</v>
      </c>
      <c r="G32" t="s">
        <v>491</v>
      </c>
      <c r="H32" t="s">
        <v>239</v>
      </c>
      <c r="I32" t="s">
        <v>146</v>
      </c>
      <c r="J32" t="s">
        <v>146</v>
      </c>
      <c r="K32" t="s">
        <v>27</v>
      </c>
      <c r="L32" t="s">
        <v>9</v>
      </c>
      <c r="M32" t="s">
        <v>291</v>
      </c>
      <c r="N32" t="s">
        <v>146</v>
      </c>
      <c r="O32" t="s">
        <v>3</v>
      </c>
      <c r="P32" t="s">
        <v>313</v>
      </c>
      <c r="Q32" t="s">
        <v>34</v>
      </c>
      <c r="R32" t="s">
        <v>154</v>
      </c>
      <c r="S32" t="s">
        <v>15</v>
      </c>
      <c r="T32" t="s">
        <v>213</v>
      </c>
      <c r="U32" t="s">
        <v>492</v>
      </c>
      <c r="V32" t="s">
        <v>493</v>
      </c>
      <c r="W32" t="s">
        <v>3</v>
      </c>
      <c r="X32" t="s">
        <v>494</v>
      </c>
      <c r="Y32" t="s">
        <v>495</v>
      </c>
      <c r="Z32" t="s">
        <v>3</v>
      </c>
      <c r="AA32" t="s">
        <v>9</v>
      </c>
      <c r="AB32" t="s">
        <v>9</v>
      </c>
      <c r="AC32" t="s">
        <v>496</v>
      </c>
      <c r="AD32" t="s">
        <v>336</v>
      </c>
      <c r="AE32" t="s">
        <v>497</v>
      </c>
      <c r="AG32" t="s">
        <v>498</v>
      </c>
      <c r="AH32" t="s">
        <v>499</v>
      </c>
      <c r="AI32" t="s">
        <v>500</v>
      </c>
      <c r="AK32" t="s">
        <v>34</v>
      </c>
      <c r="AL32" t="s">
        <v>501</v>
      </c>
      <c r="AM32" t="s">
        <v>15</v>
      </c>
      <c r="AN32" t="s">
        <v>171</v>
      </c>
      <c r="AO32" t="s">
        <v>145</v>
      </c>
      <c r="AP32" t="s">
        <v>30</v>
      </c>
    </row>
    <row r="33" spans="1:42" x14ac:dyDescent="0.3">
      <c r="A33" t="s">
        <v>29</v>
      </c>
      <c r="B33" t="s">
        <v>111</v>
      </c>
      <c r="C33" t="s">
        <v>108</v>
      </c>
      <c r="D33" t="s">
        <v>240</v>
      </c>
      <c r="E33" t="s">
        <v>154</v>
      </c>
      <c r="F33" t="s">
        <v>27</v>
      </c>
      <c r="G33" t="s">
        <v>323</v>
      </c>
      <c r="H33" t="s">
        <v>502</v>
      </c>
      <c r="I33" t="s">
        <v>33</v>
      </c>
      <c r="J33" t="s">
        <v>146</v>
      </c>
      <c r="K33" t="s">
        <v>3</v>
      </c>
      <c r="L33" t="s">
        <v>15</v>
      </c>
      <c r="M33" t="s">
        <v>336</v>
      </c>
      <c r="N33" t="s">
        <v>24</v>
      </c>
      <c r="O33" t="s">
        <v>9</v>
      </c>
      <c r="P33" t="s">
        <v>503</v>
      </c>
      <c r="Q33" t="s">
        <v>33</v>
      </c>
      <c r="R33" t="s">
        <v>166</v>
      </c>
      <c r="S33" t="s">
        <v>15</v>
      </c>
      <c r="T33" t="s">
        <v>504</v>
      </c>
      <c r="U33" t="s">
        <v>505</v>
      </c>
      <c r="V33" t="s">
        <v>506</v>
      </c>
      <c r="W33" t="s">
        <v>15</v>
      </c>
      <c r="X33" t="s">
        <v>507</v>
      </c>
      <c r="Y33" t="s">
        <v>508</v>
      </c>
      <c r="Z33" t="s">
        <v>14</v>
      </c>
      <c r="AA33" t="s">
        <v>42</v>
      </c>
      <c r="AB33" t="s">
        <v>42</v>
      </c>
      <c r="AC33" t="s">
        <v>509</v>
      </c>
      <c r="AD33" t="s">
        <v>164</v>
      </c>
      <c r="AE33" t="s">
        <v>510</v>
      </c>
      <c r="AG33" t="s">
        <v>511</v>
      </c>
      <c r="AH33" t="s">
        <v>512</v>
      </c>
      <c r="AI33" t="s">
        <v>513</v>
      </c>
      <c r="AK33" t="s">
        <v>24</v>
      </c>
      <c r="AL33" t="s">
        <v>514</v>
      </c>
      <c r="AM33" t="s">
        <v>15</v>
      </c>
      <c r="AN33" t="s">
        <v>421</v>
      </c>
      <c r="AO33" t="s">
        <v>125</v>
      </c>
      <c r="AP33" t="s">
        <v>30</v>
      </c>
    </row>
    <row r="34" spans="1:42" x14ac:dyDescent="0.3">
      <c r="A34" t="s">
        <v>21</v>
      </c>
      <c r="B34" t="s">
        <v>111</v>
      </c>
      <c r="C34" t="s">
        <v>131</v>
      </c>
      <c r="D34" t="s">
        <v>515</v>
      </c>
      <c r="E34" t="s">
        <v>163</v>
      </c>
      <c r="F34" t="s">
        <v>3</v>
      </c>
      <c r="G34" t="s">
        <v>516</v>
      </c>
      <c r="H34" t="s">
        <v>320</v>
      </c>
      <c r="I34" t="s">
        <v>164</v>
      </c>
      <c r="J34" t="s">
        <v>109</v>
      </c>
      <c r="K34" t="s">
        <v>27</v>
      </c>
      <c r="L34" t="s">
        <v>3</v>
      </c>
      <c r="M34" t="s">
        <v>166</v>
      </c>
      <c r="N34" t="s">
        <v>33</v>
      </c>
      <c r="O34" t="s">
        <v>42</v>
      </c>
      <c r="P34" t="s">
        <v>517</v>
      </c>
      <c r="Q34" t="s">
        <v>42</v>
      </c>
      <c r="R34" t="s">
        <v>345</v>
      </c>
      <c r="S34" t="s">
        <v>15</v>
      </c>
      <c r="T34" t="s">
        <v>504</v>
      </c>
      <c r="U34" t="s">
        <v>518</v>
      </c>
      <c r="V34" t="s">
        <v>519</v>
      </c>
      <c r="W34" t="s">
        <v>9</v>
      </c>
      <c r="X34" t="s">
        <v>520</v>
      </c>
      <c r="Y34" t="s">
        <v>521</v>
      </c>
      <c r="Z34" t="s">
        <v>3</v>
      </c>
      <c r="AA34" t="s">
        <v>3</v>
      </c>
      <c r="AB34" t="s">
        <v>3</v>
      </c>
      <c r="AC34" t="s">
        <v>522</v>
      </c>
      <c r="AD34" t="s">
        <v>237</v>
      </c>
      <c r="AE34" t="s">
        <v>523</v>
      </c>
      <c r="AG34" t="s">
        <v>524</v>
      </c>
      <c r="AH34" t="s">
        <v>271</v>
      </c>
      <c r="AI34" t="s">
        <v>525</v>
      </c>
      <c r="AK34" t="s">
        <v>28</v>
      </c>
      <c r="AL34" t="s">
        <v>526</v>
      </c>
      <c r="AM34" t="s">
        <v>15</v>
      </c>
      <c r="AN34" t="s">
        <v>152</v>
      </c>
      <c r="AO34" t="s">
        <v>108</v>
      </c>
      <c r="AP34" t="s">
        <v>30</v>
      </c>
    </row>
    <row r="35" spans="1:42" x14ac:dyDescent="0.3">
      <c r="A35" t="s">
        <v>17</v>
      </c>
      <c r="B35" t="s">
        <v>146</v>
      </c>
      <c r="C35" t="s">
        <v>113</v>
      </c>
      <c r="D35" t="s">
        <v>227</v>
      </c>
      <c r="E35" t="s">
        <v>527</v>
      </c>
      <c r="F35" t="s">
        <v>9</v>
      </c>
      <c r="G35" t="s">
        <v>528</v>
      </c>
      <c r="H35" t="s">
        <v>529</v>
      </c>
      <c r="I35" t="s">
        <v>185</v>
      </c>
      <c r="J35" t="s">
        <v>42</v>
      </c>
      <c r="K35" t="s">
        <v>9</v>
      </c>
      <c r="L35" t="s">
        <v>9</v>
      </c>
      <c r="M35" t="s">
        <v>124</v>
      </c>
      <c r="N35" t="s">
        <v>28</v>
      </c>
      <c r="O35" t="s">
        <v>28</v>
      </c>
      <c r="P35" t="s">
        <v>530</v>
      </c>
      <c r="Q35" t="s">
        <v>34</v>
      </c>
      <c r="R35" t="s">
        <v>169</v>
      </c>
      <c r="S35" t="s">
        <v>15</v>
      </c>
      <c r="T35" t="s">
        <v>531</v>
      </c>
      <c r="U35" t="s">
        <v>532</v>
      </c>
      <c r="V35" t="s">
        <v>533</v>
      </c>
      <c r="W35" t="s">
        <v>15</v>
      </c>
      <c r="X35" t="s">
        <v>534</v>
      </c>
      <c r="Y35" t="s">
        <v>535</v>
      </c>
      <c r="Z35" t="s">
        <v>24</v>
      </c>
      <c r="AA35" t="s">
        <v>9</v>
      </c>
      <c r="AB35" t="s">
        <v>9</v>
      </c>
      <c r="AC35" t="s">
        <v>536</v>
      </c>
      <c r="AD35" t="s">
        <v>182</v>
      </c>
      <c r="AE35" t="s">
        <v>537</v>
      </c>
      <c r="AG35" t="s">
        <v>519</v>
      </c>
      <c r="AH35" t="s">
        <v>538</v>
      </c>
      <c r="AI35" t="s">
        <v>539</v>
      </c>
      <c r="AK35" t="s">
        <v>9</v>
      </c>
      <c r="AL35" t="s">
        <v>540</v>
      </c>
      <c r="AM35" t="s">
        <v>15</v>
      </c>
      <c r="AN35" t="s">
        <v>322</v>
      </c>
      <c r="AO35" t="s">
        <v>200</v>
      </c>
      <c r="AP35" t="s">
        <v>30</v>
      </c>
    </row>
    <row r="36" spans="1:42" x14ac:dyDescent="0.3">
      <c r="A36" t="s">
        <v>16</v>
      </c>
      <c r="B36" t="s">
        <v>146</v>
      </c>
      <c r="C36" t="s">
        <v>135</v>
      </c>
      <c r="D36" t="s">
        <v>132</v>
      </c>
      <c r="E36" t="s">
        <v>166</v>
      </c>
      <c r="F36" t="s">
        <v>24</v>
      </c>
      <c r="G36" t="s">
        <v>541</v>
      </c>
      <c r="H36" t="s">
        <v>213</v>
      </c>
      <c r="I36" t="s">
        <v>146</v>
      </c>
      <c r="J36" t="s">
        <v>109</v>
      </c>
      <c r="K36" t="s">
        <v>9</v>
      </c>
      <c r="L36" t="s">
        <v>3</v>
      </c>
      <c r="M36" t="s">
        <v>171</v>
      </c>
      <c r="N36" t="s">
        <v>28</v>
      </c>
      <c r="O36" t="s">
        <v>14</v>
      </c>
      <c r="P36" t="s">
        <v>105</v>
      </c>
      <c r="Q36" t="s">
        <v>34</v>
      </c>
      <c r="R36" t="s">
        <v>515</v>
      </c>
      <c r="S36" t="s">
        <v>33</v>
      </c>
      <c r="T36" t="s">
        <v>188</v>
      </c>
      <c r="U36" t="s">
        <v>542</v>
      </c>
      <c r="V36" t="s">
        <v>332</v>
      </c>
      <c r="W36" t="s">
        <v>9</v>
      </c>
      <c r="X36" t="s">
        <v>543</v>
      </c>
      <c r="Y36" t="s">
        <v>544</v>
      </c>
      <c r="Z36" t="s">
        <v>9</v>
      </c>
      <c r="AA36" t="s">
        <v>33</v>
      </c>
      <c r="AB36" t="s">
        <v>14</v>
      </c>
      <c r="AC36" t="s">
        <v>545</v>
      </c>
      <c r="AD36" t="s">
        <v>249</v>
      </c>
      <c r="AE36" t="s">
        <v>546</v>
      </c>
      <c r="AG36" t="s">
        <v>547</v>
      </c>
      <c r="AH36" t="s">
        <v>271</v>
      </c>
      <c r="AI36" t="s">
        <v>548</v>
      </c>
      <c r="AK36" t="s">
        <v>28</v>
      </c>
      <c r="AL36" t="s">
        <v>468</v>
      </c>
      <c r="AM36" t="s">
        <v>9</v>
      </c>
      <c r="AN36" t="s">
        <v>345</v>
      </c>
      <c r="AO36" t="s">
        <v>103</v>
      </c>
      <c r="AP36" t="s">
        <v>30</v>
      </c>
    </row>
    <row r="37" spans="1:42" x14ac:dyDescent="0.3">
      <c r="A37" t="s">
        <v>11</v>
      </c>
      <c r="B37" t="s">
        <v>146</v>
      </c>
      <c r="C37" t="s">
        <v>269</v>
      </c>
      <c r="D37" t="s">
        <v>291</v>
      </c>
      <c r="E37" t="s">
        <v>166</v>
      </c>
      <c r="F37" t="s">
        <v>27</v>
      </c>
      <c r="G37" t="s">
        <v>549</v>
      </c>
      <c r="H37" t="s">
        <v>253</v>
      </c>
      <c r="I37" t="s">
        <v>111</v>
      </c>
      <c r="J37" t="s">
        <v>28</v>
      </c>
      <c r="K37" t="s">
        <v>27</v>
      </c>
      <c r="L37" t="s">
        <v>3</v>
      </c>
      <c r="M37" t="s">
        <v>103</v>
      </c>
      <c r="N37" t="s">
        <v>28</v>
      </c>
      <c r="O37" t="s">
        <v>14</v>
      </c>
      <c r="P37" t="s">
        <v>502</v>
      </c>
      <c r="Q37" t="s">
        <v>109</v>
      </c>
      <c r="R37" t="s">
        <v>163</v>
      </c>
      <c r="S37" t="s">
        <v>24</v>
      </c>
      <c r="T37" t="s">
        <v>550</v>
      </c>
      <c r="U37" t="s">
        <v>551</v>
      </c>
      <c r="V37" t="s">
        <v>466</v>
      </c>
      <c r="W37" t="s">
        <v>14</v>
      </c>
      <c r="X37" t="s">
        <v>552</v>
      </c>
      <c r="Y37" t="s">
        <v>328</v>
      </c>
      <c r="Z37" t="s">
        <v>3</v>
      </c>
      <c r="AA37" t="s">
        <v>27</v>
      </c>
      <c r="AB37" t="s">
        <v>9</v>
      </c>
      <c r="AC37" t="s">
        <v>553</v>
      </c>
      <c r="AD37" t="s">
        <v>114</v>
      </c>
      <c r="AE37" t="s">
        <v>554</v>
      </c>
      <c r="AG37" t="s">
        <v>555</v>
      </c>
      <c r="AH37" t="s">
        <v>251</v>
      </c>
      <c r="AI37" t="s">
        <v>556</v>
      </c>
      <c r="AK37" t="s">
        <v>33</v>
      </c>
      <c r="AL37" t="s">
        <v>557</v>
      </c>
      <c r="AM37" t="s">
        <v>3</v>
      </c>
      <c r="AN37" t="s">
        <v>322</v>
      </c>
      <c r="AO37" t="s">
        <v>131</v>
      </c>
      <c r="AP37" t="s">
        <v>30</v>
      </c>
    </row>
    <row r="38" spans="1:42" x14ac:dyDescent="0.3">
      <c r="A38" t="s">
        <v>20</v>
      </c>
      <c r="B38" t="s">
        <v>42</v>
      </c>
      <c r="C38" t="s">
        <v>164</v>
      </c>
      <c r="D38" t="s">
        <v>240</v>
      </c>
      <c r="E38" t="s">
        <v>558</v>
      </c>
      <c r="F38" t="s">
        <v>15</v>
      </c>
      <c r="G38" t="s">
        <v>357</v>
      </c>
      <c r="H38" t="s">
        <v>186</v>
      </c>
      <c r="I38" t="s">
        <v>131</v>
      </c>
      <c r="J38" t="s">
        <v>24</v>
      </c>
      <c r="K38" t="s">
        <v>15</v>
      </c>
      <c r="L38" t="s">
        <v>9</v>
      </c>
      <c r="M38" t="s">
        <v>264</v>
      </c>
      <c r="N38" t="s">
        <v>28</v>
      </c>
      <c r="O38" t="s">
        <v>9</v>
      </c>
      <c r="P38" t="s">
        <v>170</v>
      </c>
      <c r="Q38" t="s">
        <v>109</v>
      </c>
      <c r="R38" t="s">
        <v>187</v>
      </c>
      <c r="S38" t="s">
        <v>15</v>
      </c>
      <c r="T38" t="s">
        <v>559</v>
      </c>
      <c r="U38" t="s">
        <v>560</v>
      </c>
      <c r="V38" t="s">
        <v>561</v>
      </c>
      <c r="W38" t="s">
        <v>14</v>
      </c>
      <c r="X38" t="s">
        <v>562</v>
      </c>
      <c r="Y38" t="s">
        <v>563</v>
      </c>
      <c r="Z38" t="s">
        <v>27</v>
      </c>
      <c r="AA38" t="s">
        <v>24</v>
      </c>
      <c r="AB38" t="s">
        <v>24</v>
      </c>
      <c r="AC38" t="s">
        <v>564</v>
      </c>
      <c r="AD38" t="s">
        <v>135</v>
      </c>
      <c r="AE38" t="s">
        <v>554</v>
      </c>
      <c r="AG38" t="s">
        <v>565</v>
      </c>
      <c r="AH38" t="s">
        <v>247</v>
      </c>
      <c r="AI38" t="s">
        <v>566</v>
      </c>
      <c r="AK38" t="s">
        <v>28</v>
      </c>
      <c r="AL38" t="s">
        <v>567</v>
      </c>
      <c r="AM38" t="s">
        <v>15</v>
      </c>
      <c r="AN38" t="s">
        <v>197</v>
      </c>
      <c r="AO38" t="s">
        <v>145</v>
      </c>
      <c r="AP38" t="s">
        <v>30</v>
      </c>
    </row>
    <row r="39" spans="1:42" x14ac:dyDescent="0.3">
      <c r="A39" t="s">
        <v>32</v>
      </c>
      <c r="B39" t="s">
        <v>34</v>
      </c>
      <c r="C39" t="s">
        <v>164</v>
      </c>
      <c r="D39" t="s">
        <v>152</v>
      </c>
      <c r="E39" t="s">
        <v>568</v>
      </c>
      <c r="F39" t="s">
        <v>14</v>
      </c>
      <c r="G39" t="s">
        <v>569</v>
      </c>
      <c r="H39" t="s">
        <v>470</v>
      </c>
      <c r="I39" t="s">
        <v>28</v>
      </c>
      <c r="J39" t="s">
        <v>28</v>
      </c>
      <c r="K39" t="s">
        <v>28</v>
      </c>
      <c r="L39" t="s">
        <v>24</v>
      </c>
      <c r="M39" t="s">
        <v>291</v>
      </c>
      <c r="N39" t="s">
        <v>109</v>
      </c>
      <c r="O39" t="s">
        <v>3</v>
      </c>
      <c r="P39" t="s">
        <v>278</v>
      </c>
      <c r="Q39" t="s">
        <v>14</v>
      </c>
      <c r="R39" t="s">
        <v>128</v>
      </c>
      <c r="S39" t="s">
        <v>15</v>
      </c>
      <c r="T39" t="s">
        <v>470</v>
      </c>
      <c r="U39" t="s">
        <v>570</v>
      </c>
      <c r="V39" t="s">
        <v>571</v>
      </c>
      <c r="W39" t="s">
        <v>14</v>
      </c>
      <c r="X39" t="s">
        <v>572</v>
      </c>
      <c r="Y39" t="s">
        <v>573</v>
      </c>
      <c r="Z39" t="s">
        <v>3</v>
      </c>
      <c r="AA39" t="s">
        <v>34</v>
      </c>
      <c r="AB39" t="s">
        <v>34</v>
      </c>
      <c r="AC39" t="s">
        <v>574</v>
      </c>
      <c r="AD39" t="s">
        <v>171</v>
      </c>
      <c r="AE39" t="s">
        <v>575</v>
      </c>
      <c r="AG39" t="s">
        <v>576</v>
      </c>
      <c r="AH39" t="s">
        <v>577</v>
      </c>
      <c r="AI39" t="s">
        <v>578</v>
      </c>
      <c r="AK39" t="s">
        <v>28</v>
      </c>
      <c r="AL39" t="s">
        <v>579</v>
      </c>
      <c r="AM39" t="s">
        <v>15</v>
      </c>
      <c r="AN39" t="s">
        <v>224</v>
      </c>
      <c r="AO39" t="s">
        <v>111</v>
      </c>
      <c r="AP39" t="s">
        <v>30</v>
      </c>
    </row>
    <row r="40" spans="1:42" x14ac:dyDescent="0.3">
      <c r="A40" t="s">
        <v>23</v>
      </c>
      <c r="B40" t="s">
        <v>34</v>
      </c>
      <c r="C40" t="s">
        <v>269</v>
      </c>
      <c r="D40" t="s">
        <v>200</v>
      </c>
      <c r="E40" t="s">
        <v>325</v>
      </c>
      <c r="F40" t="s">
        <v>28</v>
      </c>
      <c r="G40" t="s">
        <v>580</v>
      </c>
      <c r="H40" t="s">
        <v>290</v>
      </c>
      <c r="I40" t="s">
        <v>33</v>
      </c>
      <c r="J40" t="s">
        <v>33</v>
      </c>
      <c r="K40" t="s">
        <v>9</v>
      </c>
      <c r="L40" t="s">
        <v>27</v>
      </c>
      <c r="M40" t="s">
        <v>303</v>
      </c>
      <c r="N40" t="s">
        <v>42</v>
      </c>
      <c r="O40" t="s">
        <v>14</v>
      </c>
      <c r="P40" t="s">
        <v>337</v>
      </c>
      <c r="Q40" t="s">
        <v>33</v>
      </c>
      <c r="R40" t="s">
        <v>105</v>
      </c>
      <c r="S40" t="s">
        <v>15</v>
      </c>
      <c r="T40" t="s">
        <v>270</v>
      </c>
      <c r="U40" t="s">
        <v>581</v>
      </c>
      <c r="V40" t="s">
        <v>392</v>
      </c>
      <c r="W40" t="s">
        <v>9</v>
      </c>
      <c r="X40" t="s">
        <v>582</v>
      </c>
      <c r="Y40" t="s">
        <v>583</v>
      </c>
      <c r="Z40" t="s">
        <v>9</v>
      </c>
      <c r="AA40" t="s">
        <v>24</v>
      </c>
      <c r="AB40" t="s">
        <v>24</v>
      </c>
      <c r="AC40" t="s">
        <v>584</v>
      </c>
      <c r="AD40" t="s">
        <v>303</v>
      </c>
      <c r="AE40" t="s">
        <v>585</v>
      </c>
      <c r="AG40" t="s">
        <v>286</v>
      </c>
      <c r="AH40" t="s">
        <v>512</v>
      </c>
      <c r="AI40" t="s">
        <v>586</v>
      </c>
      <c r="AK40" t="s">
        <v>27</v>
      </c>
      <c r="AL40" t="s">
        <v>587</v>
      </c>
      <c r="AM40" t="s">
        <v>15</v>
      </c>
      <c r="AN40" t="s">
        <v>325</v>
      </c>
      <c r="AO40" t="s">
        <v>114</v>
      </c>
      <c r="AP40" t="s">
        <v>30</v>
      </c>
    </row>
    <row r="41" spans="1:42" x14ac:dyDescent="0.3">
      <c r="A41" t="s">
        <v>31</v>
      </c>
      <c r="B41" t="s">
        <v>3</v>
      </c>
      <c r="C41" t="s">
        <v>303</v>
      </c>
      <c r="D41" t="s">
        <v>145</v>
      </c>
      <c r="E41" t="s">
        <v>165</v>
      </c>
      <c r="F41" t="s">
        <v>3</v>
      </c>
      <c r="G41" t="s">
        <v>588</v>
      </c>
      <c r="H41" t="s">
        <v>459</v>
      </c>
      <c r="I41" t="s">
        <v>33</v>
      </c>
      <c r="J41" t="s">
        <v>14</v>
      </c>
      <c r="K41" t="s">
        <v>15</v>
      </c>
      <c r="L41" t="s">
        <v>15</v>
      </c>
      <c r="M41" t="s">
        <v>151</v>
      </c>
      <c r="N41" t="s">
        <v>24</v>
      </c>
      <c r="O41" t="s">
        <v>9</v>
      </c>
      <c r="P41" t="s">
        <v>471</v>
      </c>
      <c r="Q41" t="s">
        <v>14</v>
      </c>
      <c r="R41" t="s">
        <v>267</v>
      </c>
      <c r="S41" t="s">
        <v>34</v>
      </c>
      <c r="T41" t="s">
        <v>550</v>
      </c>
      <c r="U41" t="s">
        <v>557</v>
      </c>
      <c r="V41" t="s">
        <v>589</v>
      </c>
      <c r="W41" t="s">
        <v>24</v>
      </c>
      <c r="X41" t="s">
        <v>590</v>
      </c>
      <c r="Y41" t="s">
        <v>591</v>
      </c>
      <c r="Z41" t="s">
        <v>9</v>
      </c>
      <c r="AA41" t="s">
        <v>27</v>
      </c>
      <c r="AB41" t="s">
        <v>27</v>
      </c>
      <c r="AC41" t="s">
        <v>592</v>
      </c>
      <c r="AD41" t="s">
        <v>303</v>
      </c>
      <c r="AE41" t="s">
        <v>593</v>
      </c>
      <c r="AG41" t="s">
        <v>594</v>
      </c>
      <c r="AH41" t="s">
        <v>595</v>
      </c>
      <c r="AI41" t="s">
        <v>596</v>
      </c>
      <c r="AK41" t="s">
        <v>24</v>
      </c>
      <c r="AL41" t="s">
        <v>597</v>
      </c>
      <c r="AM41" t="s">
        <v>15</v>
      </c>
      <c r="AN41" t="s">
        <v>322</v>
      </c>
      <c r="AO41" t="s">
        <v>126</v>
      </c>
      <c r="AP41" t="s">
        <v>30</v>
      </c>
    </row>
    <row r="42" spans="1:42" x14ac:dyDescent="0.3">
      <c r="A42" t="s">
        <v>22</v>
      </c>
      <c r="B42" t="s">
        <v>103</v>
      </c>
      <c r="C42" t="s">
        <v>27</v>
      </c>
      <c r="D42" t="s">
        <v>322</v>
      </c>
      <c r="E42" t="s">
        <v>345</v>
      </c>
      <c r="F42" t="s">
        <v>24</v>
      </c>
      <c r="G42" t="s">
        <v>598</v>
      </c>
      <c r="H42" t="s">
        <v>599</v>
      </c>
      <c r="I42" t="s">
        <v>42</v>
      </c>
      <c r="J42" t="s">
        <v>33</v>
      </c>
      <c r="K42" t="s">
        <v>27</v>
      </c>
      <c r="L42" t="s">
        <v>27</v>
      </c>
      <c r="M42" t="s">
        <v>237</v>
      </c>
      <c r="N42" t="s">
        <v>109</v>
      </c>
      <c r="O42" t="s">
        <v>109</v>
      </c>
      <c r="P42" t="s">
        <v>600</v>
      </c>
      <c r="Q42" t="s">
        <v>126</v>
      </c>
      <c r="R42" t="s">
        <v>126</v>
      </c>
      <c r="T42" t="s">
        <v>153</v>
      </c>
      <c r="U42" t="s">
        <v>601</v>
      </c>
      <c r="V42" t="s">
        <v>602</v>
      </c>
      <c r="W42" t="s">
        <v>34</v>
      </c>
      <c r="X42" t="s">
        <v>603</v>
      </c>
      <c r="Y42" t="s">
        <v>604</v>
      </c>
      <c r="Z42" t="s">
        <v>3</v>
      </c>
      <c r="AA42" t="s">
        <v>14</v>
      </c>
      <c r="AB42" t="s">
        <v>14</v>
      </c>
      <c r="AC42" t="s">
        <v>605</v>
      </c>
      <c r="AD42" t="s">
        <v>606</v>
      </c>
      <c r="AE42" t="s">
        <v>607</v>
      </c>
      <c r="AG42" t="s">
        <v>608</v>
      </c>
      <c r="AH42" t="s">
        <v>609</v>
      </c>
      <c r="AI42" t="s">
        <v>610</v>
      </c>
      <c r="AK42" t="s">
        <v>14</v>
      </c>
      <c r="AL42" t="s">
        <v>611</v>
      </c>
      <c r="AM42" t="s">
        <v>15</v>
      </c>
      <c r="AN42" t="s">
        <v>237</v>
      </c>
      <c r="AO42" t="s">
        <v>135</v>
      </c>
      <c r="AP42" t="s">
        <v>36</v>
      </c>
    </row>
    <row r="43" spans="1:42" x14ac:dyDescent="0.3">
      <c r="A43" t="s">
        <v>25</v>
      </c>
      <c r="B43" t="s">
        <v>125</v>
      </c>
      <c r="C43" t="s">
        <v>24</v>
      </c>
      <c r="D43" t="s">
        <v>322</v>
      </c>
      <c r="E43" t="s">
        <v>356</v>
      </c>
      <c r="F43" t="s">
        <v>14</v>
      </c>
      <c r="G43" t="s">
        <v>612</v>
      </c>
      <c r="H43" t="s">
        <v>613</v>
      </c>
      <c r="I43" t="s">
        <v>181</v>
      </c>
      <c r="J43" t="s">
        <v>109</v>
      </c>
      <c r="K43" t="s">
        <v>9</v>
      </c>
      <c r="L43" t="s">
        <v>9</v>
      </c>
      <c r="M43" t="s">
        <v>166</v>
      </c>
      <c r="N43" t="s">
        <v>42</v>
      </c>
      <c r="O43" t="s">
        <v>27</v>
      </c>
      <c r="P43" t="s">
        <v>229</v>
      </c>
      <c r="Q43" t="s">
        <v>135</v>
      </c>
      <c r="R43" t="s">
        <v>126</v>
      </c>
      <c r="T43" t="s">
        <v>614</v>
      </c>
      <c r="U43" t="s">
        <v>615</v>
      </c>
      <c r="V43" t="s">
        <v>616</v>
      </c>
      <c r="W43" t="s">
        <v>151</v>
      </c>
      <c r="X43" t="s">
        <v>617</v>
      </c>
      <c r="Y43" t="s">
        <v>618</v>
      </c>
      <c r="Z43" t="s">
        <v>3</v>
      </c>
      <c r="AA43" t="s">
        <v>3</v>
      </c>
      <c r="AB43" t="s">
        <v>15</v>
      </c>
      <c r="AC43" t="s">
        <v>619</v>
      </c>
      <c r="AD43" t="s">
        <v>235</v>
      </c>
      <c r="AE43" t="s">
        <v>620</v>
      </c>
      <c r="AG43" t="s">
        <v>583</v>
      </c>
      <c r="AH43" t="s">
        <v>418</v>
      </c>
      <c r="AI43" t="s">
        <v>621</v>
      </c>
      <c r="AK43" t="s">
        <v>14</v>
      </c>
      <c r="AL43" t="s">
        <v>622</v>
      </c>
      <c r="AM43" t="s">
        <v>3</v>
      </c>
      <c r="AN43" t="s">
        <v>170</v>
      </c>
      <c r="AO43" t="s">
        <v>171</v>
      </c>
      <c r="AP43" t="s">
        <v>36</v>
      </c>
    </row>
    <row r="44" spans="1:42" x14ac:dyDescent="0.3">
      <c r="A44" t="s">
        <v>2</v>
      </c>
      <c r="B44" t="s">
        <v>125</v>
      </c>
      <c r="C44" t="s">
        <v>9</v>
      </c>
      <c r="D44" t="s">
        <v>224</v>
      </c>
      <c r="E44" t="s">
        <v>356</v>
      </c>
      <c r="F44" t="s">
        <v>15</v>
      </c>
      <c r="G44" t="s">
        <v>623</v>
      </c>
      <c r="H44" t="s">
        <v>624</v>
      </c>
      <c r="I44" t="s">
        <v>302</v>
      </c>
      <c r="J44" t="s">
        <v>131</v>
      </c>
      <c r="K44" t="s">
        <v>24</v>
      </c>
      <c r="L44" t="s">
        <v>9</v>
      </c>
      <c r="M44" t="s">
        <v>154</v>
      </c>
      <c r="N44" t="s">
        <v>109</v>
      </c>
      <c r="O44" t="s">
        <v>27</v>
      </c>
      <c r="P44" t="s">
        <v>359</v>
      </c>
      <c r="Q44" t="s">
        <v>145</v>
      </c>
      <c r="R44" t="s">
        <v>114</v>
      </c>
      <c r="T44" t="s">
        <v>515</v>
      </c>
      <c r="U44" t="s">
        <v>625</v>
      </c>
      <c r="V44" t="s">
        <v>626</v>
      </c>
      <c r="W44" t="s">
        <v>24</v>
      </c>
      <c r="X44" t="s">
        <v>627</v>
      </c>
      <c r="Y44" t="s">
        <v>628</v>
      </c>
      <c r="Z44" t="s">
        <v>14</v>
      </c>
      <c r="AA44" t="s">
        <v>9</v>
      </c>
      <c r="AB44" t="s">
        <v>9</v>
      </c>
      <c r="AC44" t="s">
        <v>629</v>
      </c>
      <c r="AD44" t="s">
        <v>630</v>
      </c>
      <c r="AE44" t="s">
        <v>631</v>
      </c>
      <c r="AG44" t="s">
        <v>632</v>
      </c>
      <c r="AH44" t="s">
        <v>633</v>
      </c>
      <c r="AI44" t="s">
        <v>634</v>
      </c>
      <c r="AK44" t="s">
        <v>15</v>
      </c>
      <c r="AL44" t="s">
        <v>289</v>
      </c>
      <c r="AM44" t="s">
        <v>15</v>
      </c>
      <c r="AN44" t="s">
        <v>345</v>
      </c>
      <c r="AO44" t="s">
        <v>164</v>
      </c>
      <c r="AP44" t="s">
        <v>36</v>
      </c>
    </row>
    <row r="45" spans="1:42" x14ac:dyDescent="0.3">
      <c r="A45" t="s">
        <v>5</v>
      </c>
      <c r="B45" t="s">
        <v>145</v>
      </c>
      <c r="C45" t="s">
        <v>28</v>
      </c>
      <c r="D45" t="s">
        <v>322</v>
      </c>
      <c r="E45" t="s">
        <v>635</v>
      </c>
      <c r="F45" t="s">
        <v>14</v>
      </c>
      <c r="G45" t="s">
        <v>636</v>
      </c>
      <c r="H45" t="s">
        <v>255</v>
      </c>
      <c r="I45" t="s">
        <v>135</v>
      </c>
      <c r="J45" t="s">
        <v>131</v>
      </c>
      <c r="K45" t="s">
        <v>24</v>
      </c>
      <c r="L45" t="s">
        <v>15</v>
      </c>
      <c r="M45" t="s">
        <v>128</v>
      </c>
      <c r="N45" t="s">
        <v>28</v>
      </c>
      <c r="O45" t="s">
        <v>33</v>
      </c>
      <c r="P45" t="s">
        <v>180</v>
      </c>
      <c r="Q45" t="s">
        <v>113</v>
      </c>
      <c r="R45" t="s">
        <v>124</v>
      </c>
      <c r="T45" t="s">
        <v>215</v>
      </c>
      <c r="U45" t="s">
        <v>637</v>
      </c>
      <c r="V45" t="s">
        <v>638</v>
      </c>
      <c r="W45" t="s">
        <v>28</v>
      </c>
      <c r="X45" t="s">
        <v>639</v>
      </c>
      <c r="Y45" t="s">
        <v>640</v>
      </c>
      <c r="Z45" t="s">
        <v>14</v>
      </c>
      <c r="AA45" t="s">
        <v>24</v>
      </c>
      <c r="AB45" t="s">
        <v>14</v>
      </c>
      <c r="AC45" t="s">
        <v>641</v>
      </c>
      <c r="AD45" t="s">
        <v>642</v>
      </c>
      <c r="AE45" t="s">
        <v>643</v>
      </c>
      <c r="AG45" t="s">
        <v>617</v>
      </c>
      <c r="AH45" t="s">
        <v>644</v>
      </c>
      <c r="AI45" t="s">
        <v>645</v>
      </c>
      <c r="AK45" t="s">
        <v>42</v>
      </c>
      <c r="AL45" t="s">
        <v>646</v>
      </c>
      <c r="AM45" t="s">
        <v>9</v>
      </c>
      <c r="AN45" t="s">
        <v>154</v>
      </c>
      <c r="AO45" t="s">
        <v>302</v>
      </c>
      <c r="AP45" t="s">
        <v>36</v>
      </c>
    </row>
    <row r="46" spans="1:42" x14ac:dyDescent="0.3">
      <c r="A46" t="s">
        <v>6</v>
      </c>
      <c r="B46" t="s">
        <v>181</v>
      </c>
      <c r="C46" t="s">
        <v>146</v>
      </c>
      <c r="D46" t="s">
        <v>187</v>
      </c>
      <c r="E46" t="s">
        <v>187</v>
      </c>
      <c r="F46" t="s">
        <v>9</v>
      </c>
      <c r="G46" t="s">
        <v>647</v>
      </c>
      <c r="H46" t="s">
        <v>648</v>
      </c>
      <c r="I46" t="s">
        <v>151</v>
      </c>
      <c r="J46" t="s">
        <v>146</v>
      </c>
      <c r="K46" t="s">
        <v>27</v>
      </c>
      <c r="L46" t="s">
        <v>9</v>
      </c>
      <c r="M46" t="s">
        <v>148</v>
      </c>
      <c r="N46" t="s">
        <v>146</v>
      </c>
      <c r="O46" t="s">
        <v>146</v>
      </c>
      <c r="P46" t="s">
        <v>279</v>
      </c>
      <c r="Q46" t="s">
        <v>185</v>
      </c>
      <c r="R46" t="s">
        <v>182</v>
      </c>
      <c r="T46" t="s">
        <v>649</v>
      </c>
      <c r="U46" t="s">
        <v>650</v>
      </c>
      <c r="V46" t="s">
        <v>138</v>
      </c>
      <c r="W46" t="s">
        <v>111</v>
      </c>
      <c r="X46" t="s">
        <v>651</v>
      </c>
      <c r="Y46" t="s">
        <v>652</v>
      </c>
      <c r="Z46" t="s">
        <v>15</v>
      </c>
      <c r="AA46" t="s">
        <v>28</v>
      </c>
      <c r="AB46" t="s">
        <v>28</v>
      </c>
      <c r="AC46" t="s">
        <v>653</v>
      </c>
      <c r="AD46" t="s">
        <v>115</v>
      </c>
      <c r="AE46" t="s">
        <v>654</v>
      </c>
      <c r="AG46" t="s">
        <v>655</v>
      </c>
      <c r="AH46" t="s">
        <v>609</v>
      </c>
      <c r="AI46" t="s">
        <v>656</v>
      </c>
      <c r="AK46" t="s">
        <v>27</v>
      </c>
      <c r="AL46" t="s">
        <v>657</v>
      </c>
      <c r="AM46" t="s">
        <v>15</v>
      </c>
      <c r="AN46" t="s">
        <v>252</v>
      </c>
      <c r="AO46" t="s">
        <v>302</v>
      </c>
      <c r="AP46" t="s">
        <v>36</v>
      </c>
    </row>
    <row r="47" spans="1:42" x14ac:dyDescent="0.3">
      <c r="A47" t="s">
        <v>7</v>
      </c>
      <c r="B47" t="s">
        <v>181</v>
      </c>
      <c r="C47" t="s">
        <v>42</v>
      </c>
      <c r="D47" t="s">
        <v>325</v>
      </c>
      <c r="E47" t="s">
        <v>268</v>
      </c>
      <c r="F47" t="s">
        <v>3</v>
      </c>
      <c r="G47" t="s">
        <v>424</v>
      </c>
      <c r="H47" t="s">
        <v>422</v>
      </c>
      <c r="I47" t="s">
        <v>109</v>
      </c>
      <c r="J47" t="s">
        <v>131</v>
      </c>
      <c r="K47" t="s">
        <v>27</v>
      </c>
      <c r="L47" t="s">
        <v>27</v>
      </c>
      <c r="M47" t="s">
        <v>197</v>
      </c>
      <c r="N47" t="s">
        <v>34</v>
      </c>
      <c r="O47" t="s">
        <v>15</v>
      </c>
      <c r="P47" t="s">
        <v>600</v>
      </c>
      <c r="Q47" t="s">
        <v>181</v>
      </c>
      <c r="R47" t="s">
        <v>124</v>
      </c>
      <c r="T47" t="s">
        <v>649</v>
      </c>
      <c r="U47" t="s">
        <v>658</v>
      </c>
      <c r="V47" t="s">
        <v>659</v>
      </c>
      <c r="W47" t="s">
        <v>109</v>
      </c>
      <c r="X47" t="s">
        <v>660</v>
      </c>
      <c r="Y47" t="s">
        <v>661</v>
      </c>
      <c r="Z47" t="s">
        <v>9</v>
      </c>
      <c r="AA47" t="s">
        <v>14</v>
      </c>
      <c r="AB47" t="s">
        <v>14</v>
      </c>
      <c r="AC47" t="s">
        <v>662</v>
      </c>
      <c r="AD47" t="s">
        <v>313</v>
      </c>
      <c r="AE47" t="s">
        <v>663</v>
      </c>
      <c r="AG47" t="s">
        <v>218</v>
      </c>
      <c r="AH47" t="s">
        <v>664</v>
      </c>
      <c r="AI47" t="s">
        <v>665</v>
      </c>
      <c r="AK47" t="s">
        <v>27</v>
      </c>
      <c r="AL47" t="s">
        <v>666</v>
      </c>
      <c r="AM47" t="s">
        <v>15</v>
      </c>
      <c r="AN47" t="s">
        <v>136</v>
      </c>
      <c r="AO47" t="s">
        <v>125</v>
      </c>
      <c r="AP47" t="s">
        <v>36</v>
      </c>
    </row>
    <row r="48" spans="1:42" x14ac:dyDescent="0.3">
      <c r="A48" t="s">
        <v>26</v>
      </c>
      <c r="B48" t="s">
        <v>151</v>
      </c>
      <c r="C48" t="s">
        <v>269</v>
      </c>
      <c r="D48" t="s">
        <v>635</v>
      </c>
      <c r="E48" t="s">
        <v>268</v>
      </c>
      <c r="F48" t="s">
        <v>27</v>
      </c>
      <c r="G48" t="s">
        <v>667</v>
      </c>
      <c r="H48" t="s">
        <v>668</v>
      </c>
      <c r="I48" t="s">
        <v>111</v>
      </c>
      <c r="J48" t="s">
        <v>14</v>
      </c>
      <c r="K48" t="s">
        <v>28</v>
      </c>
      <c r="L48" t="s">
        <v>9</v>
      </c>
      <c r="M48" t="s">
        <v>202</v>
      </c>
      <c r="N48" t="s">
        <v>28</v>
      </c>
      <c r="O48" t="s">
        <v>34</v>
      </c>
      <c r="P48" t="s">
        <v>263</v>
      </c>
      <c r="Q48" t="s">
        <v>146</v>
      </c>
      <c r="R48" t="s">
        <v>356</v>
      </c>
      <c r="T48" t="s">
        <v>614</v>
      </c>
      <c r="U48" t="s">
        <v>669</v>
      </c>
      <c r="V48" t="s">
        <v>670</v>
      </c>
      <c r="W48" t="s">
        <v>269</v>
      </c>
      <c r="X48" t="s">
        <v>671</v>
      </c>
      <c r="Y48" t="s">
        <v>672</v>
      </c>
      <c r="Z48" t="s">
        <v>9</v>
      </c>
      <c r="AA48" t="s">
        <v>27</v>
      </c>
      <c r="AB48" t="s">
        <v>14</v>
      </c>
      <c r="AC48" t="s">
        <v>673</v>
      </c>
      <c r="AD48" t="s">
        <v>276</v>
      </c>
      <c r="AE48" t="s">
        <v>674</v>
      </c>
      <c r="AG48" t="s">
        <v>675</v>
      </c>
      <c r="AH48" t="s">
        <v>676</v>
      </c>
      <c r="AI48" t="s">
        <v>677</v>
      </c>
      <c r="AK48" t="s">
        <v>33</v>
      </c>
      <c r="AL48" t="s">
        <v>678</v>
      </c>
      <c r="AM48" t="s">
        <v>3</v>
      </c>
      <c r="AN48" t="s">
        <v>187</v>
      </c>
      <c r="AO48" t="s">
        <v>291</v>
      </c>
      <c r="AP48" t="s">
        <v>36</v>
      </c>
    </row>
    <row r="49" spans="1:42" x14ac:dyDescent="0.3">
      <c r="A49" t="s">
        <v>23</v>
      </c>
      <c r="B49" t="s">
        <v>131</v>
      </c>
      <c r="C49" t="s">
        <v>185</v>
      </c>
      <c r="D49" t="s">
        <v>486</v>
      </c>
      <c r="E49" t="s">
        <v>421</v>
      </c>
      <c r="F49" t="s">
        <v>3</v>
      </c>
      <c r="G49" t="s">
        <v>434</v>
      </c>
      <c r="H49" t="s">
        <v>186</v>
      </c>
      <c r="I49" t="s">
        <v>111</v>
      </c>
      <c r="J49" t="s">
        <v>9</v>
      </c>
      <c r="K49" t="s">
        <v>24</v>
      </c>
      <c r="L49" t="s">
        <v>15</v>
      </c>
      <c r="M49" t="s">
        <v>423</v>
      </c>
      <c r="N49" t="s">
        <v>28</v>
      </c>
      <c r="O49" t="s">
        <v>24</v>
      </c>
      <c r="P49" t="s">
        <v>282</v>
      </c>
      <c r="Q49" t="s">
        <v>151</v>
      </c>
      <c r="R49" t="s">
        <v>291</v>
      </c>
      <c r="T49" t="s">
        <v>239</v>
      </c>
      <c r="U49" t="s">
        <v>679</v>
      </c>
      <c r="V49" t="s">
        <v>680</v>
      </c>
      <c r="W49" t="s">
        <v>146</v>
      </c>
      <c r="X49" t="s">
        <v>681</v>
      </c>
      <c r="Y49" t="s">
        <v>682</v>
      </c>
      <c r="Z49" t="s">
        <v>15</v>
      </c>
      <c r="AA49" t="s">
        <v>9</v>
      </c>
      <c r="AB49" t="s">
        <v>3</v>
      </c>
      <c r="AC49" t="s">
        <v>683</v>
      </c>
      <c r="AD49" t="s">
        <v>472</v>
      </c>
      <c r="AE49" t="s">
        <v>684</v>
      </c>
      <c r="AG49" t="s">
        <v>685</v>
      </c>
      <c r="AH49" t="s">
        <v>686</v>
      </c>
      <c r="AI49" t="s">
        <v>687</v>
      </c>
      <c r="AK49" t="s">
        <v>34</v>
      </c>
      <c r="AL49" t="s">
        <v>688</v>
      </c>
      <c r="AM49" t="s">
        <v>3</v>
      </c>
      <c r="AN49" t="s">
        <v>568</v>
      </c>
      <c r="AO49" t="s">
        <v>148</v>
      </c>
      <c r="AP49" t="s">
        <v>36</v>
      </c>
    </row>
    <row r="50" spans="1:42" x14ac:dyDescent="0.3">
      <c r="A50" t="s">
        <v>21</v>
      </c>
      <c r="B50" t="s">
        <v>131</v>
      </c>
      <c r="C50" t="s">
        <v>151</v>
      </c>
      <c r="D50" t="s">
        <v>249</v>
      </c>
      <c r="E50" t="s">
        <v>187</v>
      </c>
      <c r="F50" t="s">
        <v>24</v>
      </c>
      <c r="G50" t="s">
        <v>689</v>
      </c>
      <c r="H50" t="s">
        <v>343</v>
      </c>
      <c r="I50" t="s">
        <v>33</v>
      </c>
      <c r="J50" t="s">
        <v>24</v>
      </c>
      <c r="K50" t="s">
        <v>14</v>
      </c>
      <c r="L50" t="s">
        <v>15</v>
      </c>
      <c r="M50" t="s">
        <v>486</v>
      </c>
      <c r="N50" t="s">
        <v>28</v>
      </c>
      <c r="O50" t="s">
        <v>33</v>
      </c>
      <c r="P50" t="s">
        <v>279</v>
      </c>
      <c r="Q50" t="s">
        <v>185</v>
      </c>
      <c r="R50" t="s">
        <v>249</v>
      </c>
      <c r="T50" t="s">
        <v>326</v>
      </c>
      <c r="U50" t="s">
        <v>690</v>
      </c>
      <c r="V50" t="s">
        <v>691</v>
      </c>
      <c r="W50" t="s">
        <v>33</v>
      </c>
      <c r="X50" t="s">
        <v>692</v>
      </c>
      <c r="Y50" t="s">
        <v>299</v>
      </c>
      <c r="Z50" t="s">
        <v>9</v>
      </c>
      <c r="AA50" t="s">
        <v>27</v>
      </c>
      <c r="AB50" t="s">
        <v>14</v>
      </c>
      <c r="AC50" t="s">
        <v>693</v>
      </c>
      <c r="AD50" t="s">
        <v>694</v>
      </c>
      <c r="AE50" t="s">
        <v>695</v>
      </c>
      <c r="AG50" t="s">
        <v>696</v>
      </c>
      <c r="AH50" t="s">
        <v>294</v>
      </c>
      <c r="AI50" t="s">
        <v>697</v>
      </c>
      <c r="AK50" t="s">
        <v>28</v>
      </c>
      <c r="AL50" t="s">
        <v>698</v>
      </c>
      <c r="AM50" t="s">
        <v>15</v>
      </c>
      <c r="AN50" t="s">
        <v>699</v>
      </c>
      <c r="AO50" t="s">
        <v>237</v>
      </c>
      <c r="AP50" t="s">
        <v>36</v>
      </c>
    </row>
    <row r="51" spans="1:42" x14ac:dyDescent="0.3">
      <c r="A51" t="s">
        <v>18</v>
      </c>
      <c r="B51" t="s">
        <v>131</v>
      </c>
      <c r="C51" t="s">
        <v>151</v>
      </c>
      <c r="D51" t="s">
        <v>214</v>
      </c>
      <c r="E51" t="s">
        <v>515</v>
      </c>
      <c r="F51" t="s">
        <v>27</v>
      </c>
      <c r="G51" t="s">
        <v>570</v>
      </c>
      <c r="H51" t="s">
        <v>700</v>
      </c>
      <c r="I51" t="s">
        <v>109</v>
      </c>
      <c r="J51" t="s">
        <v>27</v>
      </c>
      <c r="K51" t="s">
        <v>3</v>
      </c>
      <c r="L51" t="s">
        <v>3</v>
      </c>
      <c r="M51" t="s">
        <v>124</v>
      </c>
      <c r="N51" t="s">
        <v>24</v>
      </c>
      <c r="O51" t="s">
        <v>27</v>
      </c>
      <c r="P51" t="s">
        <v>701</v>
      </c>
      <c r="Q51" t="s">
        <v>146</v>
      </c>
      <c r="R51" t="s">
        <v>249</v>
      </c>
      <c r="T51" t="s">
        <v>702</v>
      </c>
      <c r="U51" t="s">
        <v>703</v>
      </c>
      <c r="V51" t="s">
        <v>704</v>
      </c>
      <c r="W51" t="s">
        <v>185</v>
      </c>
      <c r="X51" t="s">
        <v>705</v>
      </c>
      <c r="Y51" t="s">
        <v>246</v>
      </c>
      <c r="Z51" t="s">
        <v>9</v>
      </c>
      <c r="AA51" t="s">
        <v>28</v>
      </c>
      <c r="AB51" t="s">
        <v>14</v>
      </c>
      <c r="AC51" t="s">
        <v>706</v>
      </c>
      <c r="AD51" t="s">
        <v>255</v>
      </c>
      <c r="AE51" t="s">
        <v>707</v>
      </c>
      <c r="AG51" t="s">
        <v>708</v>
      </c>
      <c r="AH51" t="s">
        <v>709</v>
      </c>
      <c r="AI51" t="s">
        <v>710</v>
      </c>
      <c r="AK51" t="s">
        <v>33</v>
      </c>
      <c r="AL51" t="s">
        <v>711</v>
      </c>
      <c r="AM51" t="s">
        <v>9</v>
      </c>
      <c r="AN51" t="s">
        <v>154</v>
      </c>
      <c r="AO51" t="s">
        <v>124</v>
      </c>
      <c r="AP51" t="s">
        <v>36</v>
      </c>
    </row>
    <row r="52" spans="1:42" x14ac:dyDescent="0.3">
      <c r="A52" t="s">
        <v>37</v>
      </c>
      <c r="B52" t="s">
        <v>109</v>
      </c>
      <c r="C52" t="s">
        <v>181</v>
      </c>
      <c r="D52" t="s">
        <v>200</v>
      </c>
      <c r="E52" t="s">
        <v>172</v>
      </c>
      <c r="F52" t="s">
        <v>24</v>
      </c>
      <c r="G52" t="s">
        <v>712</v>
      </c>
      <c r="H52" t="s">
        <v>377</v>
      </c>
      <c r="I52" t="s">
        <v>111</v>
      </c>
      <c r="J52" t="s">
        <v>131</v>
      </c>
      <c r="K52" t="s">
        <v>24</v>
      </c>
      <c r="L52" t="s">
        <v>15</v>
      </c>
      <c r="M52" t="s">
        <v>171</v>
      </c>
      <c r="N52" t="s">
        <v>14</v>
      </c>
      <c r="O52" t="s">
        <v>3</v>
      </c>
      <c r="P52" t="s">
        <v>154</v>
      </c>
      <c r="Q52" t="s">
        <v>109</v>
      </c>
      <c r="R52" t="s">
        <v>325</v>
      </c>
      <c r="T52" t="s">
        <v>422</v>
      </c>
      <c r="U52" t="s">
        <v>713</v>
      </c>
      <c r="V52" t="s">
        <v>714</v>
      </c>
      <c r="W52" t="s">
        <v>111</v>
      </c>
      <c r="X52" t="s">
        <v>715</v>
      </c>
      <c r="Y52" t="s">
        <v>402</v>
      </c>
      <c r="Z52" t="s">
        <v>9</v>
      </c>
      <c r="AA52" t="s">
        <v>14</v>
      </c>
      <c r="AB52" t="s">
        <v>9</v>
      </c>
      <c r="AC52" t="s">
        <v>716</v>
      </c>
      <c r="AD52" t="s">
        <v>515</v>
      </c>
      <c r="AE52" t="s">
        <v>717</v>
      </c>
      <c r="AG52" t="s">
        <v>718</v>
      </c>
      <c r="AH52" t="s">
        <v>719</v>
      </c>
      <c r="AI52" t="s">
        <v>720</v>
      </c>
      <c r="AK52" t="s">
        <v>33</v>
      </c>
      <c r="AL52" t="s">
        <v>721</v>
      </c>
      <c r="AM52" t="s">
        <v>15</v>
      </c>
      <c r="AN52" t="s">
        <v>279</v>
      </c>
      <c r="AO52" t="s">
        <v>132</v>
      </c>
      <c r="AP52" t="s">
        <v>36</v>
      </c>
    </row>
    <row r="53" spans="1:42" x14ac:dyDescent="0.3">
      <c r="A53" t="s">
        <v>11</v>
      </c>
      <c r="B53" t="s">
        <v>109</v>
      </c>
      <c r="C53" t="s">
        <v>181</v>
      </c>
      <c r="D53" t="s">
        <v>291</v>
      </c>
      <c r="E53" t="s">
        <v>166</v>
      </c>
      <c r="F53" t="s">
        <v>27</v>
      </c>
      <c r="G53" t="s">
        <v>722</v>
      </c>
      <c r="H53" t="s">
        <v>723</v>
      </c>
      <c r="I53" t="s">
        <v>146</v>
      </c>
      <c r="J53" t="s">
        <v>14</v>
      </c>
      <c r="K53" t="s">
        <v>24</v>
      </c>
      <c r="L53" t="s">
        <v>9</v>
      </c>
      <c r="M53" t="s">
        <v>303</v>
      </c>
      <c r="N53" t="s">
        <v>24</v>
      </c>
      <c r="O53" t="s">
        <v>9</v>
      </c>
      <c r="P53" t="s">
        <v>203</v>
      </c>
      <c r="Q53" t="s">
        <v>185</v>
      </c>
      <c r="R53" t="s">
        <v>249</v>
      </c>
      <c r="T53" t="s">
        <v>304</v>
      </c>
      <c r="U53" t="s">
        <v>724</v>
      </c>
      <c r="V53" t="s">
        <v>725</v>
      </c>
      <c r="W53" t="s">
        <v>109</v>
      </c>
      <c r="X53" t="s">
        <v>726</v>
      </c>
      <c r="Y53" t="s">
        <v>626</v>
      </c>
      <c r="Z53" t="s">
        <v>3</v>
      </c>
      <c r="AA53" t="s">
        <v>14</v>
      </c>
      <c r="AB53" t="s">
        <v>9</v>
      </c>
      <c r="AC53" t="s">
        <v>727</v>
      </c>
      <c r="AD53" t="s">
        <v>436</v>
      </c>
      <c r="AE53" t="s">
        <v>728</v>
      </c>
      <c r="AG53" t="s">
        <v>729</v>
      </c>
      <c r="AH53" t="s">
        <v>676</v>
      </c>
      <c r="AI53" t="s">
        <v>730</v>
      </c>
      <c r="AK53" t="s">
        <v>146</v>
      </c>
      <c r="AL53" t="s">
        <v>731</v>
      </c>
      <c r="AM53" t="s">
        <v>3</v>
      </c>
      <c r="AN53" t="s">
        <v>200</v>
      </c>
      <c r="AO53" t="s">
        <v>145</v>
      </c>
      <c r="AP53" t="s">
        <v>36</v>
      </c>
    </row>
    <row r="54" spans="1:42" x14ac:dyDescent="0.3">
      <c r="A54" t="s">
        <v>20</v>
      </c>
      <c r="B54" t="s">
        <v>111</v>
      </c>
      <c r="C54" t="s">
        <v>164</v>
      </c>
      <c r="D54" t="s">
        <v>132</v>
      </c>
      <c r="E54" t="s">
        <v>128</v>
      </c>
      <c r="F54" t="s">
        <v>3</v>
      </c>
      <c r="G54" t="s">
        <v>732</v>
      </c>
      <c r="H54" t="s">
        <v>290</v>
      </c>
      <c r="I54" t="s">
        <v>33</v>
      </c>
      <c r="J54" t="s">
        <v>146</v>
      </c>
      <c r="K54" t="s">
        <v>15</v>
      </c>
      <c r="L54" t="s">
        <v>14</v>
      </c>
      <c r="M54" t="s">
        <v>171</v>
      </c>
      <c r="N54" t="s">
        <v>28</v>
      </c>
      <c r="O54" t="s">
        <v>9</v>
      </c>
      <c r="P54" t="s">
        <v>433</v>
      </c>
      <c r="Q54" t="s">
        <v>33</v>
      </c>
      <c r="R54" t="s">
        <v>169</v>
      </c>
      <c r="T54" t="s">
        <v>512</v>
      </c>
      <c r="U54" t="s">
        <v>516</v>
      </c>
      <c r="V54" t="s">
        <v>117</v>
      </c>
      <c r="W54" t="s">
        <v>131</v>
      </c>
      <c r="X54" t="s">
        <v>733</v>
      </c>
      <c r="Y54" t="s">
        <v>573</v>
      </c>
      <c r="Z54" t="s">
        <v>9</v>
      </c>
      <c r="AA54" t="s">
        <v>33</v>
      </c>
      <c r="AB54" t="s">
        <v>28</v>
      </c>
      <c r="AC54" t="s">
        <v>734</v>
      </c>
      <c r="AD54" t="s">
        <v>115</v>
      </c>
      <c r="AE54" t="s">
        <v>735</v>
      </c>
      <c r="AG54" t="s">
        <v>736</v>
      </c>
      <c r="AH54" t="s">
        <v>668</v>
      </c>
      <c r="AI54" t="s">
        <v>737</v>
      </c>
      <c r="AK54" t="s">
        <v>24</v>
      </c>
      <c r="AL54" t="s">
        <v>738</v>
      </c>
      <c r="AM54" t="s">
        <v>3</v>
      </c>
      <c r="AN54" t="s">
        <v>214</v>
      </c>
      <c r="AO54" t="s">
        <v>103</v>
      </c>
      <c r="AP54" t="s">
        <v>36</v>
      </c>
    </row>
    <row r="55" spans="1:42" x14ac:dyDescent="0.3">
      <c r="A55" t="s">
        <v>13</v>
      </c>
      <c r="B55" t="s">
        <v>146</v>
      </c>
      <c r="C55" t="s">
        <v>181</v>
      </c>
      <c r="D55" t="s">
        <v>421</v>
      </c>
      <c r="E55" t="s">
        <v>136</v>
      </c>
      <c r="F55" t="s">
        <v>27</v>
      </c>
      <c r="G55" t="s">
        <v>739</v>
      </c>
      <c r="H55" t="s">
        <v>740</v>
      </c>
      <c r="I55" t="s">
        <v>185</v>
      </c>
      <c r="J55" t="s">
        <v>42</v>
      </c>
      <c r="K55" t="s">
        <v>27</v>
      </c>
      <c r="L55" t="s">
        <v>3</v>
      </c>
      <c r="M55" t="s">
        <v>171</v>
      </c>
      <c r="N55" t="s">
        <v>24</v>
      </c>
      <c r="O55" t="s">
        <v>15</v>
      </c>
      <c r="P55" t="s">
        <v>270</v>
      </c>
      <c r="Q55" t="s">
        <v>146</v>
      </c>
      <c r="R55" t="s">
        <v>105</v>
      </c>
      <c r="T55" t="s">
        <v>270</v>
      </c>
      <c r="U55" t="s">
        <v>741</v>
      </c>
      <c r="V55" t="s">
        <v>742</v>
      </c>
      <c r="W55" t="s">
        <v>131</v>
      </c>
      <c r="X55" t="s">
        <v>743</v>
      </c>
      <c r="Y55" t="s">
        <v>744</v>
      </c>
      <c r="Z55" t="s">
        <v>9</v>
      </c>
      <c r="AA55" t="s">
        <v>28</v>
      </c>
      <c r="AB55" t="s">
        <v>24</v>
      </c>
      <c r="AC55" t="s">
        <v>745</v>
      </c>
      <c r="AD55" t="s">
        <v>170</v>
      </c>
      <c r="AE55" t="s">
        <v>746</v>
      </c>
      <c r="AG55" t="s">
        <v>747</v>
      </c>
      <c r="AH55" t="s">
        <v>389</v>
      </c>
      <c r="AI55" t="s">
        <v>748</v>
      </c>
      <c r="AK55" t="s">
        <v>42</v>
      </c>
      <c r="AL55" t="s">
        <v>749</v>
      </c>
      <c r="AM55" t="s">
        <v>15</v>
      </c>
      <c r="AN55" t="s">
        <v>182</v>
      </c>
      <c r="AO55" t="s">
        <v>240</v>
      </c>
      <c r="AP55" t="s">
        <v>36</v>
      </c>
    </row>
    <row r="56" spans="1:42" x14ac:dyDescent="0.3">
      <c r="A56" t="s">
        <v>12</v>
      </c>
      <c r="B56" t="s">
        <v>146</v>
      </c>
      <c r="C56" t="s">
        <v>181</v>
      </c>
      <c r="D56" t="s">
        <v>200</v>
      </c>
      <c r="E56" t="s">
        <v>635</v>
      </c>
      <c r="F56" t="s">
        <v>24</v>
      </c>
      <c r="G56" t="s">
        <v>482</v>
      </c>
      <c r="H56" t="s">
        <v>529</v>
      </c>
      <c r="I56" t="s">
        <v>164</v>
      </c>
      <c r="J56" t="s">
        <v>146</v>
      </c>
      <c r="K56" t="s">
        <v>9</v>
      </c>
      <c r="L56" t="s">
        <v>3</v>
      </c>
      <c r="M56" t="s">
        <v>252</v>
      </c>
      <c r="N56" t="s">
        <v>28</v>
      </c>
      <c r="O56" t="s">
        <v>9</v>
      </c>
      <c r="P56" t="s">
        <v>115</v>
      </c>
      <c r="Q56" t="s">
        <v>34</v>
      </c>
      <c r="R56" t="s">
        <v>147</v>
      </c>
      <c r="T56" t="s">
        <v>750</v>
      </c>
      <c r="U56" t="s">
        <v>751</v>
      </c>
      <c r="V56" t="s">
        <v>752</v>
      </c>
      <c r="W56" t="s">
        <v>181</v>
      </c>
      <c r="X56" t="s">
        <v>753</v>
      </c>
      <c r="Y56" t="s">
        <v>506</v>
      </c>
      <c r="Z56" t="s">
        <v>15</v>
      </c>
      <c r="AA56" t="s">
        <v>33</v>
      </c>
      <c r="AB56" t="s">
        <v>28</v>
      </c>
      <c r="AC56" t="s">
        <v>754</v>
      </c>
      <c r="AD56" t="s">
        <v>228</v>
      </c>
      <c r="AE56" t="s">
        <v>755</v>
      </c>
      <c r="AG56" t="s">
        <v>756</v>
      </c>
      <c r="AH56" t="s">
        <v>757</v>
      </c>
      <c r="AI56" t="s">
        <v>758</v>
      </c>
      <c r="AK56" t="s">
        <v>42</v>
      </c>
      <c r="AL56" t="s">
        <v>711</v>
      </c>
      <c r="AM56" t="s">
        <v>3</v>
      </c>
      <c r="AN56" t="s">
        <v>263</v>
      </c>
      <c r="AO56" t="s">
        <v>302</v>
      </c>
      <c r="AP56" t="s">
        <v>36</v>
      </c>
    </row>
    <row r="57" spans="1:42" x14ac:dyDescent="0.3">
      <c r="A57" t="s">
        <v>29</v>
      </c>
      <c r="B57" t="s">
        <v>42</v>
      </c>
      <c r="C57" t="s">
        <v>145</v>
      </c>
      <c r="D57" t="s">
        <v>291</v>
      </c>
      <c r="E57" t="s">
        <v>699</v>
      </c>
      <c r="F57" t="s">
        <v>3</v>
      </c>
      <c r="G57" t="s">
        <v>739</v>
      </c>
      <c r="H57" t="s">
        <v>266</v>
      </c>
      <c r="I57" t="s">
        <v>146</v>
      </c>
      <c r="J57" t="s">
        <v>34</v>
      </c>
      <c r="K57" t="s">
        <v>3</v>
      </c>
      <c r="L57" t="s">
        <v>3</v>
      </c>
      <c r="M57" t="s">
        <v>114</v>
      </c>
      <c r="N57" t="s">
        <v>33</v>
      </c>
      <c r="O57" t="s">
        <v>27</v>
      </c>
      <c r="P57" t="s">
        <v>254</v>
      </c>
      <c r="Q57" t="s">
        <v>42</v>
      </c>
      <c r="R57" t="s">
        <v>187</v>
      </c>
      <c r="T57" t="s">
        <v>364</v>
      </c>
      <c r="U57" t="s">
        <v>759</v>
      </c>
      <c r="V57" t="s">
        <v>405</v>
      </c>
      <c r="W57" t="s">
        <v>28</v>
      </c>
      <c r="X57" t="s">
        <v>760</v>
      </c>
      <c r="Y57" t="s">
        <v>379</v>
      </c>
      <c r="Z57" t="s">
        <v>9</v>
      </c>
      <c r="AA57" t="s">
        <v>24</v>
      </c>
      <c r="AB57" t="s">
        <v>14</v>
      </c>
      <c r="AC57" t="s">
        <v>761</v>
      </c>
      <c r="AD57" t="s">
        <v>326</v>
      </c>
      <c r="AE57" t="s">
        <v>762</v>
      </c>
      <c r="AG57" t="s">
        <v>763</v>
      </c>
      <c r="AH57" t="s">
        <v>764</v>
      </c>
      <c r="AI57" t="s">
        <v>765</v>
      </c>
      <c r="AK57" t="s">
        <v>27</v>
      </c>
      <c r="AL57" t="s">
        <v>766</v>
      </c>
      <c r="AM57" t="s">
        <v>3</v>
      </c>
      <c r="AN57" t="s">
        <v>635</v>
      </c>
      <c r="AO57" t="s">
        <v>114</v>
      </c>
      <c r="AP57" t="s">
        <v>36</v>
      </c>
    </row>
    <row r="58" spans="1:42" x14ac:dyDescent="0.3">
      <c r="A58" t="s">
        <v>38</v>
      </c>
      <c r="B58" t="s">
        <v>34</v>
      </c>
      <c r="C58" t="s">
        <v>164</v>
      </c>
      <c r="D58" t="s">
        <v>486</v>
      </c>
      <c r="E58" t="s">
        <v>433</v>
      </c>
      <c r="F58" t="s">
        <v>14</v>
      </c>
      <c r="G58" t="s">
        <v>767</v>
      </c>
      <c r="H58" t="s">
        <v>186</v>
      </c>
      <c r="I58" t="s">
        <v>42</v>
      </c>
      <c r="J58" t="s">
        <v>185</v>
      </c>
      <c r="K58" t="s">
        <v>14</v>
      </c>
      <c r="L58" t="s">
        <v>14</v>
      </c>
      <c r="M58" t="s">
        <v>423</v>
      </c>
      <c r="N58" t="s">
        <v>28</v>
      </c>
      <c r="O58" t="s">
        <v>24</v>
      </c>
      <c r="P58" t="s">
        <v>253</v>
      </c>
      <c r="Q58" t="s">
        <v>28</v>
      </c>
      <c r="R58" t="s">
        <v>127</v>
      </c>
      <c r="T58" t="s">
        <v>446</v>
      </c>
      <c r="U58" t="s">
        <v>768</v>
      </c>
      <c r="V58" t="s">
        <v>205</v>
      </c>
      <c r="W58" t="s">
        <v>151</v>
      </c>
      <c r="X58" t="s">
        <v>769</v>
      </c>
      <c r="Y58" t="s">
        <v>770</v>
      </c>
      <c r="Z58" t="s">
        <v>27</v>
      </c>
      <c r="AA58" t="s">
        <v>14</v>
      </c>
      <c r="AB58" t="s">
        <v>9</v>
      </c>
      <c r="AC58" t="s">
        <v>771</v>
      </c>
      <c r="AD58" t="s">
        <v>104</v>
      </c>
      <c r="AE58" t="s">
        <v>772</v>
      </c>
      <c r="AG58" t="s">
        <v>773</v>
      </c>
      <c r="AH58" t="s">
        <v>251</v>
      </c>
      <c r="AI58" t="s">
        <v>774</v>
      </c>
      <c r="AK58" t="s">
        <v>27</v>
      </c>
      <c r="AL58" t="s">
        <v>775</v>
      </c>
      <c r="AM58" t="s">
        <v>3</v>
      </c>
      <c r="AN58" t="s">
        <v>237</v>
      </c>
      <c r="AO58" t="s">
        <v>135</v>
      </c>
      <c r="AP58" t="s">
        <v>36</v>
      </c>
    </row>
    <row r="59" spans="1:42" x14ac:dyDescent="0.3">
      <c r="A59" t="s">
        <v>35</v>
      </c>
      <c r="B59" t="s">
        <v>34</v>
      </c>
      <c r="C59" t="s">
        <v>135</v>
      </c>
      <c r="D59" t="s">
        <v>240</v>
      </c>
      <c r="E59" t="s">
        <v>408</v>
      </c>
      <c r="F59" t="s">
        <v>3</v>
      </c>
      <c r="G59" t="s">
        <v>445</v>
      </c>
      <c r="H59" t="s">
        <v>776</v>
      </c>
      <c r="I59" t="s">
        <v>113</v>
      </c>
      <c r="J59" t="s">
        <v>27</v>
      </c>
      <c r="K59" t="s">
        <v>14</v>
      </c>
      <c r="L59" t="s">
        <v>14</v>
      </c>
      <c r="M59" t="s">
        <v>336</v>
      </c>
      <c r="N59" t="s">
        <v>24</v>
      </c>
      <c r="O59" t="s">
        <v>24</v>
      </c>
      <c r="P59" t="s">
        <v>203</v>
      </c>
      <c r="Q59" t="s">
        <v>34</v>
      </c>
      <c r="R59" t="s">
        <v>408</v>
      </c>
      <c r="T59" t="s">
        <v>531</v>
      </c>
      <c r="U59" t="s">
        <v>777</v>
      </c>
      <c r="V59" t="s">
        <v>778</v>
      </c>
      <c r="W59" t="s">
        <v>131</v>
      </c>
      <c r="X59" t="s">
        <v>779</v>
      </c>
      <c r="Y59" t="s">
        <v>407</v>
      </c>
      <c r="Z59" t="s">
        <v>15</v>
      </c>
      <c r="AA59" t="s">
        <v>27</v>
      </c>
      <c r="AB59" t="s">
        <v>27</v>
      </c>
      <c r="AC59" t="s">
        <v>780</v>
      </c>
      <c r="AD59" t="s">
        <v>333</v>
      </c>
      <c r="AE59" t="s">
        <v>585</v>
      </c>
      <c r="AG59" t="s">
        <v>781</v>
      </c>
      <c r="AH59" t="s">
        <v>168</v>
      </c>
      <c r="AI59" t="s">
        <v>782</v>
      </c>
      <c r="AK59" t="s">
        <v>24</v>
      </c>
      <c r="AL59" t="s">
        <v>783</v>
      </c>
      <c r="AM59" t="s">
        <v>15</v>
      </c>
      <c r="AN59" t="s">
        <v>105</v>
      </c>
      <c r="AO59" t="s">
        <v>126</v>
      </c>
      <c r="AP59" t="s">
        <v>36</v>
      </c>
    </row>
    <row r="60" spans="1:42" x14ac:dyDescent="0.3">
      <c r="A60" t="s">
        <v>17</v>
      </c>
      <c r="B60" t="s">
        <v>33</v>
      </c>
      <c r="C60" t="s">
        <v>145</v>
      </c>
      <c r="D60" t="s">
        <v>103</v>
      </c>
      <c r="E60" t="s">
        <v>325</v>
      </c>
      <c r="F60" t="s">
        <v>14</v>
      </c>
      <c r="G60" t="s">
        <v>784</v>
      </c>
      <c r="H60" t="s">
        <v>312</v>
      </c>
      <c r="I60" t="s">
        <v>33</v>
      </c>
      <c r="J60" t="s">
        <v>3</v>
      </c>
      <c r="K60" t="s">
        <v>3</v>
      </c>
      <c r="L60" t="s">
        <v>9</v>
      </c>
      <c r="M60" t="s">
        <v>125</v>
      </c>
      <c r="N60" t="s">
        <v>14</v>
      </c>
      <c r="O60" t="s">
        <v>15</v>
      </c>
      <c r="P60" t="s">
        <v>785</v>
      </c>
      <c r="Q60" t="s">
        <v>33</v>
      </c>
      <c r="R60" t="s">
        <v>147</v>
      </c>
      <c r="T60" t="s">
        <v>266</v>
      </c>
      <c r="U60" t="s">
        <v>786</v>
      </c>
      <c r="V60" t="s">
        <v>787</v>
      </c>
      <c r="W60" t="s">
        <v>133</v>
      </c>
      <c r="X60" t="s">
        <v>788</v>
      </c>
      <c r="Y60" t="s">
        <v>789</v>
      </c>
      <c r="Z60" t="s">
        <v>28</v>
      </c>
      <c r="AA60" t="s">
        <v>9</v>
      </c>
      <c r="AB60" t="s">
        <v>9</v>
      </c>
      <c r="AC60" t="s">
        <v>790</v>
      </c>
      <c r="AD60" t="s">
        <v>614</v>
      </c>
      <c r="AE60" t="s">
        <v>791</v>
      </c>
      <c r="AG60" t="s">
        <v>372</v>
      </c>
      <c r="AH60" t="s">
        <v>764</v>
      </c>
      <c r="AI60" t="s">
        <v>792</v>
      </c>
      <c r="AK60" t="s">
        <v>24</v>
      </c>
      <c r="AL60" t="s">
        <v>793</v>
      </c>
      <c r="AM60" t="s">
        <v>15</v>
      </c>
      <c r="AN60" t="s">
        <v>279</v>
      </c>
      <c r="AO60" t="s">
        <v>269</v>
      </c>
      <c r="AP60" t="s">
        <v>36</v>
      </c>
    </row>
    <row r="61" spans="1:42" x14ac:dyDescent="0.3">
      <c r="A61" t="s">
        <v>10</v>
      </c>
      <c r="B61" t="s">
        <v>33</v>
      </c>
      <c r="C61" t="s">
        <v>269</v>
      </c>
      <c r="D61" t="s">
        <v>421</v>
      </c>
      <c r="E61" t="s">
        <v>147</v>
      </c>
      <c r="F61" t="s">
        <v>34</v>
      </c>
      <c r="G61" t="s">
        <v>483</v>
      </c>
      <c r="H61" t="s">
        <v>504</v>
      </c>
      <c r="I61" t="s">
        <v>109</v>
      </c>
      <c r="J61" t="s">
        <v>146</v>
      </c>
      <c r="K61" t="s">
        <v>27</v>
      </c>
      <c r="L61" t="s">
        <v>15</v>
      </c>
      <c r="M61" t="s">
        <v>200</v>
      </c>
      <c r="N61" t="s">
        <v>9</v>
      </c>
      <c r="O61" t="s">
        <v>9</v>
      </c>
      <c r="P61" t="s">
        <v>172</v>
      </c>
      <c r="Q61" t="s">
        <v>33</v>
      </c>
      <c r="R61" t="s">
        <v>166</v>
      </c>
      <c r="T61" t="s">
        <v>228</v>
      </c>
      <c r="U61" t="s">
        <v>777</v>
      </c>
      <c r="V61" t="s">
        <v>794</v>
      </c>
      <c r="W61" t="s">
        <v>135</v>
      </c>
      <c r="X61" t="s">
        <v>795</v>
      </c>
      <c r="Y61" t="s">
        <v>796</v>
      </c>
      <c r="Z61" t="s">
        <v>9</v>
      </c>
      <c r="AA61" t="s">
        <v>42</v>
      </c>
      <c r="AB61" t="s">
        <v>34</v>
      </c>
      <c r="AC61" t="s">
        <v>797</v>
      </c>
      <c r="AD61" t="s">
        <v>740</v>
      </c>
      <c r="AE61" t="s">
        <v>798</v>
      </c>
      <c r="AG61" t="s">
        <v>363</v>
      </c>
      <c r="AH61" t="s">
        <v>776</v>
      </c>
      <c r="AI61" t="s">
        <v>799</v>
      </c>
      <c r="AK61" t="s">
        <v>24</v>
      </c>
      <c r="AL61" t="s">
        <v>800</v>
      </c>
      <c r="AM61" t="s">
        <v>3</v>
      </c>
      <c r="AN61" t="s">
        <v>421</v>
      </c>
      <c r="AO61" t="s">
        <v>126</v>
      </c>
      <c r="AP61" t="s">
        <v>36</v>
      </c>
    </row>
    <row r="62" spans="1:42" x14ac:dyDescent="0.3">
      <c r="A62" t="s">
        <v>25</v>
      </c>
      <c r="B62" t="s">
        <v>114</v>
      </c>
      <c r="C62" t="s">
        <v>28</v>
      </c>
      <c r="D62" t="s">
        <v>471</v>
      </c>
      <c r="E62" t="s">
        <v>187</v>
      </c>
      <c r="F62" t="s">
        <v>24</v>
      </c>
      <c r="G62" t="s">
        <v>801</v>
      </c>
      <c r="H62" t="s">
        <v>802</v>
      </c>
      <c r="I62" t="s">
        <v>185</v>
      </c>
      <c r="J62" t="s">
        <v>113</v>
      </c>
      <c r="K62" t="s">
        <v>111</v>
      </c>
      <c r="L62" t="s">
        <v>14</v>
      </c>
      <c r="M62" t="s">
        <v>358</v>
      </c>
      <c r="N62" t="s">
        <v>42</v>
      </c>
      <c r="O62" t="s">
        <v>34</v>
      </c>
      <c r="P62" t="s">
        <v>254</v>
      </c>
      <c r="Q62" t="s">
        <v>269</v>
      </c>
      <c r="R62" t="s">
        <v>252</v>
      </c>
      <c r="S62" t="s">
        <v>15</v>
      </c>
      <c r="T62" t="s">
        <v>471</v>
      </c>
      <c r="U62" t="s">
        <v>803</v>
      </c>
      <c r="V62" t="s">
        <v>804</v>
      </c>
      <c r="W62" t="s">
        <v>146</v>
      </c>
      <c r="X62" t="s">
        <v>805</v>
      </c>
      <c r="Y62" t="s">
        <v>806</v>
      </c>
      <c r="Z62" t="s">
        <v>3</v>
      </c>
      <c r="AA62" t="s">
        <v>24</v>
      </c>
      <c r="AB62" t="s">
        <v>27</v>
      </c>
      <c r="AC62" t="s">
        <v>807</v>
      </c>
      <c r="AD62" t="s">
        <v>808</v>
      </c>
      <c r="AE62" t="s">
        <v>809</v>
      </c>
      <c r="AG62" t="s">
        <v>810</v>
      </c>
      <c r="AH62" t="s">
        <v>811</v>
      </c>
      <c r="AI62" t="s">
        <v>812</v>
      </c>
      <c r="AK62" t="s">
        <v>14</v>
      </c>
      <c r="AL62" t="s">
        <v>813</v>
      </c>
      <c r="AM62" t="s">
        <v>3</v>
      </c>
      <c r="AN62" t="s">
        <v>215</v>
      </c>
      <c r="AO62" t="s">
        <v>264</v>
      </c>
      <c r="AP62" t="s">
        <v>39</v>
      </c>
    </row>
    <row r="63" spans="1:42" x14ac:dyDescent="0.3">
      <c r="A63" t="s">
        <v>22</v>
      </c>
      <c r="B63" t="s">
        <v>114</v>
      </c>
      <c r="C63" t="s">
        <v>33</v>
      </c>
      <c r="D63" t="s">
        <v>527</v>
      </c>
      <c r="E63" t="s">
        <v>268</v>
      </c>
      <c r="F63" t="s">
        <v>27</v>
      </c>
      <c r="G63" t="s">
        <v>479</v>
      </c>
      <c r="H63" t="s">
        <v>294</v>
      </c>
      <c r="I63" t="s">
        <v>109</v>
      </c>
      <c r="J63" t="s">
        <v>131</v>
      </c>
      <c r="K63" t="s">
        <v>28</v>
      </c>
      <c r="L63" t="s">
        <v>14</v>
      </c>
      <c r="M63" t="s">
        <v>224</v>
      </c>
      <c r="N63" t="s">
        <v>42</v>
      </c>
      <c r="O63" t="s">
        <v>28</v>
      </c>
      <c r="P63" t="s">
        <v>279</v>
      </c>
      <c r="Q63" t="s">
        <v>164</v>
      </c>
      <c r="R63" t="s">
        <v>103</v>
      </c>
      <c r="S63" t="s">
        <v>15</v>
      </c>
      <c r="T63" t="s">
        <v>377</v>
      </c>
      <c r="U63" t="s">
        <v>814</v>
      </c>
      <c r="V63" t="s">
        <v>672</v>
      </c>
      <c r="W63" t="s">
        <v>185</v>
      </c>
      <c r="X63" t="s">
        <v>372</v>
      </c>
      <c r="Y63" t="s">
        <v>666</v>
      </c>
      <c r="Z63" t="s">
        <v>15</v>
      </c>
      <c r="AA63" t="s">
        <v>9</v>
      </c>
      <c r="AB63" t="s">
        <v>9</v>
      </c>
      <c r="AC63" t="s">
        <v>815</v>
      </c>
      <c r="AD63" t="s">
        <v>816</v>
      </c>
      <c r="AE63" t="s">
        <v>817</v>
      </c>
      <c r="AG63" t="s">
        <v>818</v>
      </c>
      <c r="AH63" t="s">
        <v>819</v>
      </c>
      <c r="AI63" t="s">
        <v>820</v>
      </c>
      <c r="AK63" t="s">
        <v>9</v>
      </c>
      <c r="AL63" t="s">
        <v>821</v>
      </c>
      <c r="AM63" t="s">
        <v>15</v>
      </c>
      <c r="AN63" t="s">
        <v>154</v>
      </c>
      <c r="AO63" t="s">
        <v>269</v>
      </c>
      <c r="AP63" t="s">
        <v>39</v>
      </c>
    </row>
    <row r="64" spans="1:42" x14ac:dyDescent="0.3">
      <c r="A64" t="s">
        <v>5</v>
      </c>
      <c r="B64" t="s">
        <v>133</v>
      </c>
      <c r="C64" t="s">
        <v>42</v>
      </c>
      <c r="D64" t="s">
        <v>104</v>
      </c>
      <c r="E64" t="s">
        <v>237</v>
      </c>
      <c r="F64" t="s">
        <v>3</v>
      </c>
      <c r="G64" t="s">
        <v>658</v>
      </c>
      <c r="H64" t="s">
        <v>283</v>
      </c>
      <c r="I64" t="s">
        <v>151</v>
      </c>
      <c r="J64" t="s">
        <v>111</v>
      </c>
      <c r="K64" t="s">
        <v>14</v>
      </c>
      <c r="L64" t="s">
        <v>9</v>
      </c>
      <c r="M64" t="s">
        <v>154</v>
      </c>
      <c r="N64" t="s">
        <v>269</v>
      </c>
      <c r="O64" t="s">
        <v>42</v>
      </c>
      <c r="P64" t="s">
        <v>410</v>
      </c>
      <c r="Q64" t="s">
        <v>131</v>
      </c>
      <c r="R64" t="s">
        <v>132</v>
      </c>
      <c r="S64" t="s">
        <v>14</v>
      </c>
      <c r="T64" t="s">
        <v>267</v>
      </c>
      <c r="U64" t="s">
        <v>822</v>
      </c>
      <c r="V64" t="s">
        <v>823</v>
      </c>
      <c r="W64" t="s">
        <v>302</v>
      </c>
      <c r="X64" t="s">
        <v>824</v>
      </c>
      <c r="Y64" t="s">
        <v>601</v>
      </c>
      <c r="Z64" t="s">
        <v>9</v>
      </c>
      <c r="AA64" t="s">
        <v>33</v>
      </c>
      <c r="AB64" t="s">
        <v>24</v>
      </c>
      <c r="AC64" t="s">
        <v>825</v>
      </c>
      <c r="AD64" t="s">
        <v>826</v>
      </c>
      <c r="AE64" t="s">
        <v>552</v>
      </c>
      <c r="AG64" t="s">
        <v>573</v>
      </c>
      <c r="AH64" t="s">
        <v>609</v>
      </c>
      <c r="AI64" t="s">
        <v>827</v>
      </c>
      <c r="AK64" t="s">
        <v>14</v>
      </c>
      <c r="AL64" t="s">
        <v>828</v>
      </c>
      <c r="AM64" t="s">
        <v>9</v>
      </c>
      <c r="AN64" t="s">
        <v>503</v>
      </c>
      <c r="AO64" t="s">
        <v>126</v>
      </c>
      <c r="AP64" t="s">
        <v>39</v>
      </c>
    </row>
    <row r="65" spans="1:42" x14ac:dyDescent="0.3">
      <c r="A65" t="s">
        <v>21</v>
      </c>
      <c r="B65" t="s">
        <v>108</v>
      </c>
      <c r="C65" t="s">
        <v>146</v>
      </c>
      <c r="D65" t="s">
        <v>408</v>
      </c>
      <c r="E65" t="s">
        <v>635</v>
      </c>
      <c r="F65" t="s">
        <v>3</v>
      </c>
      <c r="G65" t="s">
        <v>829</v>
      </c>
      <c r="H65" t="s">
        <v>168</v>
      </c>
      <c r="I65" t="s">
        <v>185</v>
      </c>
      <c r="J65" t="s">
        <v>109</v>
      </c>
      <c r="K65" t="s">
        <v>9</v>
      </c>
      <c r="L65" t="s">
        <v>9</v>
      </c>
      <c r="M65" t="s">
        <v>166</v>
      </c>
      <c r="N65" t="s">
        <v>34</v>
      </c>
      <c r="O65" t="s">
        <v>28</v>
      </c>
      <c r="P65" t="s">
        <v>367</v>
      </c>
      <c r="Q65" t="s">
        <v>185</v>
      </c>
      <c r="R65" t="s">
        <v>132</v>
      </c>
      <c r="S65" t="s">
        <v>27</v>
      </c>
      <c r="T65" t="s">
        <v>550</v>
      </c>
      <c r="U65" t="s">
        <v>594</v>
      </c>
      <c r="V65" t="s">
        <v>830</v>
      </c>
      <c r="W65" t="s">
        <v>146</v>
      </c>
      <c r="X65" t="s">
        <v>831</v>
      </c>
      <c r="Y65" t="s">
        <v>832</v>
      </c>
      <c r="Z65" t="s">
        <v>15</v>
      </c>
      <c r="AA65" t="s">
        <v>42</v>
      </c>
      <c r="AB65" t="s">
        <v>28</v>
      </c>
      <c r="AC65" t="s">
        <v>833</v>
      </c>
      <c r="AD65" t="s">
        <v>326</v>
      </c>
      <c r="AE65" t="s">
        <v>834</v>
      </c>
      <c r="AG65" t="s">
        <v>835</v>
      </c>
      <c r="AH65" t="s">
        <v>836</v>
      </c>
      <c r="AI65" t="s">
        <v>837</v>
      </c>
      <c r="AK65" t="s">
        <v>28</v>
      </c>
      <c r="AL65" t="s">
        <v>838</v>
      </c>
      <c r="AM65" t="s">
        <v>14</v>
      </c>
      <c r="AN65" t="s">
        <v>410</v>
      </c>
      <c r="AO65" t="s">
        <v>182</v>
      </c>
      <c r="AP65" t="s">
        <v>39</v>
      </c>
    </row>
    <row r="66" spans="1:42" x14ac:dyDescent="0.3">
      <c r="A66" t="s">
        <v>2</v>
      </c>
      <c r="B66" t="s">
        <v>269</v>
      </c>
      <c r="C66" t="s">
        <v>111</v>
      </c>
      <c r="D66" t="s">
        <v>345</v>
      </c>
      <c r="E66" t="s">
        <v>325</v>
      </c>
      <c r="F66" t="s">
        <v>24</v>
      </c>
      <c r="G66" t="s">
        <v>839</v>
      </c>
      <c r="H66" t="s">
        <v>709</v>
      </c>
      <c r="I66" t="s">
        <v>145</v>
      </c>
      <c r="J66" t="s">
        <v>28</v>
      </c>
      <c r="K66" t="s">
        <v>14</v>
      </c>
      <c r="L66" t="s">
        <v>15</v>
      </c>
      <c r="M66" t="s">
        <v>169</v>
      </c>
      <c r="N66" t="s">
        <v>34</v>
      </c>
      <c r="O66" t="s">
        <v>27</v>
      </c>
      <c r="P66" t="s">
        <v>128</v>
      </c>
      <c r="Q66" t="s">
        <v>181</v>
      </c>
      <c r="R66" t="s">
        <v>171</v>
      </c>
      <c r="S66" t="s">
        <v>15</v>
      </c>
      <c r="T66" t="s">
        <v>115</v>
      </c>
      <c r="U66" t="s">
        <v>840</v>
      </c>
      <c r="V66" t="s">
        <v>841</v>
      </c>
      <c r="W66" t="s">
        <v>28</v>
      </c>
      <c r="X66" t="s">
        <v>842</v>
      </c>
      <c r="Y66" t="s">
        <v>843</v>
      </c>
      <c r="Z66" t="s">
        <v>9</v>
      </c>
      <c r="AA66" t="s">
        <v>27</v>
      </c>
      <c r="AB66" t="s">
        <v>14</v>
      </c>
      <c r="AC66" t="s">
        <v>844</v>
      </c>
      <c r="AD66" t="s">
        <v>228</v>
      </c>
      <c r="AE66" t="s">
        <v>845</v>
      </c>
      <c r="AG66" t="s">
        <v>846</v>
      </c>
      <c r="AH66" t="s">
        <v>808</v>
      </c>
      <c r="AI66" t="s">
        <v>847</v>
      </c>
      <c r="AK66" t="s">
        <v>3</v>
      </c>
      <c r="AL66" t="s">
        <v>549</v>
      </c>
      <c r="AM66" t="s">
        <v>3</v>
      </c>
      <c r="AN66" t="s">
        <v>202</v>
      </c>
      <c r="AO66" t="s">
        <v>103</v>
      </c>
      <c r="AP66" t="s">
        <v>39</v>
      </c>
    </row>
    <row r="67" spans="1:42" x14ac:dyDescent="0.3">
      <c r="A67" t="s">
        <v>26</v>
      </c>
      <c r="B67" t="s">
        <v>269</v>
      </c>
      <c r="C67" t="s">
        <v>33</v>
      </c>
      <c r="D67" t="s">
        <v>172</v>
      </c>
      <c r="E67" t="s">
        <v>268</v>
      </c>
      <c r="F67" t="s">
        <v>9</v>
      </c>
      <c r="G67" t="s">
        <v>848</v>
      </c>
      <c r="H67" t="s">
        <v>320</v>
      </c>
      <c r="I67" t="s">
        <v>42</v>
      </c>
      <c r="J67" t="s">
        <v>42</v>
      </c>
      <c r="K67" t="s">
        <v>24</v>
      </c>
      <c r="L67" t="s">
        <v>14</v>
      </c>
      <c r="M67" t="s">
        <v>165</v>
      </c>
      <c r="N67" t="s">
        <v>146</v>
      </c>
      <c r="O67" t="s">
        <v>146</v>
      </c>
      <c r="P67" t="s">
        <v>153</v>
      </c>
      <c r="Q67" t="s">
        <v>111</v>
      </c>
      <c r="R67" t="s">
        <v>249</v>
      </c>
      <c r="S67" t="s">
        <v>15</v>
      </c>
      <c r="T67" t="s">
        <v>153</v>
      </c>
      <c r="U67" t="s">
        <v>849</v>
      </c>
      <c r="V67" t="s">
        <v>850</v>
      </c>
      <c r="W67" t="s">
        <v>269</v>
      </c>
      <c r="X67" t="s">
        <v>851</v>
      </c>
      <c r="Y67" t="s">
        <v>852</v>
      </c>
      <c r="Z67" t="s">
        <v>3</v>
      </c>
      <c r="AA67" t="s">
        <v>33</v>
      </c>
      <c r="AB67" t="s">
        <v>24</v>
      </c>
      <c r="AC67" t="s">
        <v>853</v>
      </c>
      <c r="AD67" t="s">
        <v>327</v>
      </c>
      <c r="AE67" t="s">
        <v>854</v>
      </c>
      <c r="AG67" t="s">
        <v>339</v>
      </c>
      <c r="AH67" t="s">
        <v>418</v>
      </c>
      <c r="AI67" t="s">
        <v>855</v>
      </c>
      <c r="AK67" t="s">
        <v>27</v>
      </c>
      <c r="AL67" t="s">
        <v>856</v>
      </c>
      <c r="AM67" t="s">
        <v>9</v>
      </c>
      <c r="AN67" t="s">
        <v>249</v>
      </c>
      <c r="AO67" t="s">
        <v>108</v>
      </c>
      <c r="AP67" t="s">
        <v>39</v>
      </c>
    </row>
    <row r="68" spans="1:42" x14ac:dyDescent="0.3">
      <c r="A68" t="s">
        <v>6</v>
      </c>
      <c r="B68" t="s">
        <v>181</v>
      </c>
      <c r="C68" t="s">
        <v>34</v>
      </c>
      <c r="D68" t="s">
        <v>202</v>
      </c>
      <c r="E68" t="s">
        <v>166</v>
      </c>
      <c r="F68" t="s">
        <v>9</v>
      </c>
      <c r="G68" t="s">
        <v>857</v>
      </c>
      <c r="H68" t="s">
        <v>595</v>
      </c>
      <c r="I68" t="s">
        <v>24</v>
      </c>
      <c r="J68" t="s">
        <v>109</v>
      </c>
      <c r="K68" t="s">
        <v>24</v>
      </c>
      <c r="L68" t="s">
        <v>15</v>
      </c>
      <c r="M68" t="s">
        <v>148</v>
      </c>
      <c r="N68" t="s">
        <v>34</v>
      </c>
      <c r="O68" t="s">
        <v>27</v>
      </c>
      <c r="P68" t="s">
        <v>115</v>
      </c>
      <c r="Q68" t="s">
        <v>151</v>
      </c>
      <c r="R68" t="s">
        <v>486</v>
      </c>
      <c r="S68" t="s">
        <v>15</v>
      </c>
      <c r="T68" t="s">
        <v>642</v>
      </c>
      <c r="U68" t="s">
        <v>675</v>
      </c>
      <c r="V68" t="s">
        <v>858</v>
      </c>
      <c r="W68" t="s">
        <v>28</v>
      </c>
      <c r="X68" t="s">
        <v>859</v>
      </c>
      <c r="Y68" t="s">
        <v>430</v>
      </c>
      <c r="Z68" t="s">
        <v>14</v>
      </c>
      <c r="AA68" t="s">
        <v>28</v>
      </c>
      <c r="AB68" t="s">
        <v>28</v>
      </c>
      <c r="AC68" t="s">
        <v>860</v>
      </c>
      <c r="AD68" t="s">
        <v>568</v>
      </c>
      <c r="AE68" t="s">
        <v>861</v>
      </c>
      <c r="AG68" t="s">
        <v>508</v>
      </c>
      <c r="AH68" t="s">
        <v>862</v>
      </c>
      <c r="AI68" t="s">
        <v>863</v>
      </c>
      <c r="AK68" t="s">
        <v>146</v>
      </c>
      <c r="AL68" t="s">
        <v>183</v>
      </c>
      <c r="AM68" t="s">
        <v>15</v>
      </c>
      <c r="AN68" t="s">
        <v>486</v>
      </c>
      <c r="AO68" t="s">
        <v>486</v>
      </c>
      <c r="AP68" t="s">
        <v>39</v>
      </c>
    </row>
    <row r="69" spans="1:42" x14ac:dyDescent="0.3">
      <c r="A69" t="s">
        <v>7</v>
      </c>
      <c r="B69" t="s">
        <v>113</v>
      </c>
      <c r="C69" t="s">
        <v>42</v>
      </c>
      <c r="D69" t="s">
        <v>105</v>
      </c>
      <c r="E69" t="s">
        <v>147</v>
      </c>
      <c r="F69" t="s">
        <v>9</v>
      </c>
      <c r="G69" t="s">
        <v>587</v>
      </c>
      <c r="H69" t="s">
        <v>757</v>
      </c>
      <c r="I69" t="s">
        <v>109</v>
      </c>
      <c r="J69" t="s">
        <v>113</v>
      </c>
      <c r="K69" t="s">
        <v>24</v>
      </c>
      <c r="L69" t="s">
        <v>9</v>
      </c>
      <c r="M69" t="s">
        <v>202</v>
      </c>
      <c r="N69" t="s">
        <v>34</v>
      </c>
      <c r="O69" t="s">
        <v>9</v>
      </c>
      <c r="P69" t="s">
        <v>358</v>
      </c>
      <c r="Q69" t="s">
        <v>111</v>
      </c>
      <c r="R69" t="s">
        <v>268</v>
      </c>
      <c r="S69" t="s">
        <v>15</v>
      </c>
      <c r="T69" t="s">
        <v>502</v>
      </c>
      <c r="U69" t="s">
        <v>864</v>
      </c>
      <c r="V69" t="s">
        <v>865</v>
      </c>
      <c r="W69" t="s">
        <v>164</v>
      </c>
      <c r="X69" t="s">
        <v>705</v>
      </c>
      <c r="Y69" t="s">
        <v>858</v>
      </c>
      <c r="Z69" t="s">
        <v>14</v>
      </c>
      <c r="AA69" t="s">
        <v>9</v>
      </c>
      <c r="AB69" t="s">
        <v>15</v>
      </c>
      <c r="AC69" t="s">
        <v>866</v>
      </c>
      <c r="AD69" t="s">
        <v>293</v>
      </c>
      <c r="AE69" t="s">
        <v>854</v>
      </c>
      <c r="AG69" t="s">
        <v>218</v>
      </c>
      <c r="AH69" t="s">
        <v>599</v>
      </c>
      <c r="AI69" t="s">
        <v>867</v>
      </c>
      <c r="AK69" t="s">
        <v>27</v>
      </c>
      <c r="AL69" t="s">
        <v>868</v>
      </c>
      <c r="AM69" t="s">
        <v>9</v>
      </c>
      <c r="AN69" t="s">
        <v>202</v>
      </c>
      <c r="AO69" t="s">
        <v>181</v>
      </c>
      <c r="AP69" t="s">
        <v>39</v>
      </c>
    </row>
    <row r="70" spans="1:42" x14ac:dyDescent="0.3">
      <c r="A70" t="s">
        <v>32</v>
      </c>
      <c r="B70" t="s">
        <v>185</v>
      </c>
      <c r="C70" t="s">
        <v>131</v>
      </c>
      <c r="D70" t="s">
        <v>200</v>
      </c>
      <c r="E70" t="s">
        <v>136</v>
      </c>
      <c r="F70" t="s">
        <v>3</v>
      </c>
      <c r="G70" t="s">
        <v>542</v>
      </c>
      <c r="H70" t="s">
        <v>226</v>
      </c>
      <c r="I70" t="s">
        <v>33</v>
      </c>
      <c r="J70" t="s">
        <v>14</v>
      </c>
      <c r="K70" t="s">
        <v>9</v>
      </c>
      <c r="L70" t="s">
        <v>27</v>
      </c>
      <c r="M70" t="s">
        <v>264</v>
      </c>
      <c r="N70" t="s">
        <v>34</v>
      </c>
      <c r="O70" t="s">
        <v>27</v>
      </c>
      <c r="P70" t="s">
        <v>359</v>
      </c>
      <c r="Q70" t="s">
        <v>111</v>
      </c>
      <c r="R70" t="s">
        <v>197</v>
      </c>
      <c r="S70" t="s">
        <v>15</v>
      </c>
      <c r="T70" t="s">
        <v>577</v>
      </c>
      <c r="U70" t="s">
        <v>869</v>
      </c>
      <c r="V70" t="s">
        <v>870</v>
      </c>
      <c r="W70" t="s">
        <v>27</v>
      </c>
      <c r="X70" t="s">
        <v>871</v>
      </c>
      <c r="Y70" t="s">
        <v>872</v>
      </c>
      <c r="Z70" t="s">
        <v>3</v>
      </c>
      <c r="AA70" t="s">
        <v>14</v>
      </c>
      <c r="AB70" t="s">
        <v>14</v>
      </c>
      <c r="AC70" t="s">
        <v>873</v>
      </c>
      <c r="AD70" t="s">
        <v>614</v>
      </c>
      <c r="AE70" t="s">
        <v>874</v>
      </c>
      <c r="AG70" t="s">
        <v>623</v>
      </c>
      <c r="AH70" t="s">
        <v>251</v>
      </c>
      <c r="AI70" t="s">
        <v>875</v>
      </c>
      <c r="AK70" t="s">
        <v>24</v>
      </c>
      <c r="AL70" t="s">
        <v>731</v>
      </c>
      <c r="AM70" t="s">
        <v>15</v>
      </c>
      <c r="AN70" t="s">
        <v>278</v>
      </c>
      <c r="AO70" t="s">
        <v>171</v>
      </c>
      <c r="AP70" t="s">
        <v>39</v>
      </c>
    </row>
    <row r="71" spans="1:42" x14ac:dyDescent="0.3">
      <c r="A71" t="s">
        <v>13</v>
      </c>
      <c r="B71" t="s">
        <v>185</v>
      </c>
      <c r="C71" t="s">
        <v>131</v>
      </c>
      <c r="D71" t="s">
        <v>132</v>
      </c>
      <c r="E71" t="s">
        <v>147</v>
      </c>
      <c r="F71" t="s">
        <v>9</v>
      </c>
      <c r="G71" t="s">
        <v>549</v>
      </c>
      <c r="H71" t="s">
        <v>876</v>
      </c>
      <c r="I71" t="s">
        <v>269</v>
      </c>
      <c r="J71" t="s">
        <v>111</v>
      </c>
      <c r="K71" t="s">
        <v>14</v>
      </c>
      <c r="L71" t="s">
        <v>15</v>
      </c>
      <c r="M71" t="s">
        <v>171</v>
      </c>
      <c r="N71" t="s">
        <v>28</v>
      </c>
      <c r="O71" t="s">
        <v>9</v>
      </c>
      <c r="P71" t="s">
        <v>614</v>
      </c>
      <c r="Q71" t="s">
        <v>185</v>
      </c>
      <c r="R71" t="s">
        <v>325</v>
      </c>
      <c r="S71" t="s">
        <v>15</v>
      </c>
      <c r="T71" t="s">
        <v>213</v>
      </c>
      <c r="U71" t="s">
        <v>877</v>
      </c>
      <c r="V71" t="s">
        <v>878</v>
      </c>
      <c r="W71" t="s">
        <v>109</v>
      </c>
      <c r="X71" t="s">
        <v>879</v>
      </c>
      <c r="Y71" t="s">
        <v>880</v>
      </c>
      <c r="Z71" t="s">
        <v>3</v>
      </c>
      <c r="AA71" t="s">
        <v>9</v>
      </c>
      <c r="AB71" t="s">
        <v>9</v>
      </c>
      <c r="AC71" t="s">
        <v>881</v>
      </c>
      <c r="AD71" t="s">
        <v>337</v>
      </c>
      <c r="AE71" t="s">
        <v>882</v>
      </c>
      <c r="AG71" t="s">
        <v>883</v>
      </c>
      <c r="AH71" t="s">
        <v>195</v>
      </c>
      <c r="AI71" t="s">
        <v>884</v>
      </c>
      <c r="AK71" t="s">
        <v>28</v>
      </c>
      <c r="AL71" t="s">
        <v>731</v>
      </c>
      <c r="AM71" t="s">
        <v>15</v>
      </c>
      <c r="AN71" t="s">
        <v>345</v>
      </c>
      <c r="AO71" t="s">
        <v>252</v>
      </c>
      <c r="AP71" t="s">
        <v>39</v>
      </c>
    </row>
    <row r="72" spans="1:42" x14ac:dyDescent="0.3">
      <c r="A72" t="s">
        <v>23</v>
      </c>
      <c r="B72" t="s">
        <v>109</v>
      </c>
      <c r="C72" t="s">
        <v>113</v>
      </c>
      <c r="D72" t="s">
        <v>486</v>
      </c>
      <c r="E72" t="s">
        <v>152</v>
      </c>
      <c r="F72" t="s">
        <v>3</v>
      </c>
      <c r="G72" t="s">
        <v>885</v>
      </c>
      <c r="H72" t="s">
        <v>266</v>
      </c>
      <c r="I72" t="s">
        <v>33</v>
      </c>
      <c r="J72" t="s">
        <v>27</v>
      </c>
      <c r="K72" t="s">
        <v>27</v>
      </c>
      <c r="L72" t="s">
        <v>9</v>
      </c>
      <c r="M72" t="s">
        <v>264</v>
      </c>
      <c r="N72" t="s">
        <v>42</v>
      </c>
      <c r="O72" t="s">
        <v>15</v>
      </c>
      <c r="P72" t="s">
        <v>282</v>
      </c>
      <c r="Q72" t="s">
        <v>109</v>
      </c>
      <c r="R72" t="s">
        <v>152</v>
      </c>
      <c r="S72" t="s">
        <v>24</v>
      </c>
      <c r="T72" t="s">
        <v>292</v>
      </c>
      <c r="U72" t="s">
        <v>883</v>
      </c>
      <c r="V72" t="s">
        <v>886</v>
      </c>
      <c r="W72" t="s">
        <v>146</v>
      </c>
      <c r="X72" t="s">
        <v>887</v>
      </c>
      <c r="Y72" t="s">
        <v>870</v>
      </c>
      <c r="Z72" t="s">
        <v>24</v>
      </c>
      <c r="AA72" t="s">
        <v>9</v>
      </c>
      <c r="AB72" t="s">
        <v>9</v>
      </c>
      <c r="AC72" t="s">
        <v>888</v>
      </c>
      <c r="AD72" t="s">
        <v>889</v>
      </c>
      <c r="AE72" t="s">
        <v>890</v>
      </c>
      <c r="AG72" t="s">
        <v>891</v>
      </c>
      <c r="AH72" t="s">
        <v>343</v>
      </c>
      <c r="AI72" t="s">
        <v>892</v>
      </c>
      <c r="AK72" t="s">
        <v>24</v>
      </c>
      <c r="AL72" t="s">
        <v>688</v>
      </c>
      <c r="AM72" t="s">
        <v>15</v>
      </c>
      <c r="AN72" t="s">
        <v>600</v>
      </c>
      <c r="AO72" t="s">
        <v>303</v>
      </c>
      <c r="AP72" t="s">
        <v>39</v>
      </c>
    </row>
    <row r="73" spans="1:42" x14ac:dyDescent="0.3">
      <c r="A73" t="s">
        <v>37</v>
      </c>
      <c r="B73" t="s">
        <v>111</v>
      </c>
      <c r="C73" t="s">
        <v>185</v>
      </c>
      <c r="D73" t="s">
        <v>291</v>
      </c>
      <c r="E73" t="s">
        <v>165</v>
      </c>
      <c r="F73" t="s">
        <v>24</v>
      </c>
      <c r="G73" t="s">
        <v>893</v>
      </c>
      <c r="H73" t="s">
        <v>750</v>
      </c>
      <c r="I73" t="s">
        <v>24</v>
      </c>
      <c r="J73" t="s">
        <v>42</v>
      </c>
      <c r="K73" t="s">
        <v>9</v>
      </c>
      <c r="L73" t="s">
        <v>15</v>
      </c>
      <c r="M73" t="s">
        <v>252</v>
      </c>
      <c r="N73" t="s">
        <v>9</v>
      </c>
      <c r="O73" t="s">
        <v>3</v>
      </c>
      <c r="P73" t="s">
        <v>527</v>
      </c>
      <c r="Q73" t="s">
        <v>131</v>
      </c>
      <c r="R73" t="s">
        <v>182</v>
      </c>
      <c r="S73" t="s">
        <v>27</v>
      </c>
      <c r="T73" t="s">
        <v>184</v>
      </c>
      <c r="U73" t="s">
        <v>640</v>
      </c>
      <c r="V73" t="s">
        <v>894</v>
      </c>
      <c r="W73" t="s">
        <v>34</v>
      </c>
      <c r="X73" t="s">
        <v>681</v>
      </c>
      <c r="Y73" t="s">
        <v>895</v>
      </c>
      <c r="Z73" t="s">
        <v>3</v>
      </c>
      <c r="AA73" t="s">
        <v>28</v>
      </c>
      <c r="AB73" t="s">
        <v>14</v>
      </c>
      <c r="AC73" t="s">
        <v>896</v>
      </c>
      <c r="AD73" t="s">
        <v>345</v>
      </c>
      <c r="AE73" t="s">
        <v>897</v>
      </c>
      <c r="AG73" t="s">
        <v>898</v>
      </c>
      <c r="AH73" t="s">
        <v>195</v>
      </c>
      <c r="AI73" t="s">
        <v>899</v>
      </c>
      <c r="AK73" t="s">
        <v>14</v>
      </c>
      <c r="AL73" t="s">
        <v>900</v>
      </c>
      <c r="AM73" t="s">
        <v>14</v>
      </c>
      <c r="AN73" t="s">
        <v>367</v>
      </c>
      <c r="AO73" t="s">
        <v>181</v>
      </c>
      <c r="AP73" t="s">
        <v>39</v>
      </c>
    </row>
    <row r="74" spans="1:42" x14ac:dyDescent="0.3">
      <c r="A74" t="s">
        <v>29</v>
      </c>
      <c r="B74" t="s">
        <v>111</v>
      </c>
      <c r="C74" t="s">
        <v>113</v>
      </c>
      <c r="D74" t="s">
        <v>182</v>
      </c>
      <c r="E74" t="s">
        <v>224</v>
      </c>
      <c r="F74" t="s">
        <v>42</v>
      </c>
      <c r="G74" t="s">
        <v>483</v>
      </c>
      <c r="H74" t="s">
        <v>648</v>
      </c>
      <c r="I74" t="s">
        <v>111</v>
      </c>
      <c r="J74" t="s">
        <v>146</v>
      </c>
      <c r="K74" t="s">
        <v>28</v>
      </c>
      <c r="L74" t="s">
        <v>3</v>
      </c>
      <c r="M74" t="s">
        <v>148</v>
      </c>
      <c r="N74" t="s">
        <v>27</v>
      </c>
      <c r="O74" t="s">
        <v>28</v>
      </c>
      <c r="P74" t="s">
        <v>410</v>
      </c>
      <c r="Q74" t="s">
        <v>33</v>
      </c>
      <c r="R74" t="s">
        <v>237</v>
      </c>
      <c r="S74" t="s">
        <v>15</v>
      </c>
      <c r="T74" t="s">
        <v>901</v>
      </c>
      <c r="U74" t="s">
        <v>902</v>
      </c>
      <c r="V74" t="s">
        <v>117</v>
      </c>
      <c r="W74" t="s">
        <v>146</v>
      </c>
      <c r="X74" t="s">
        <v>903</v>
      </c>
      <c r="Y74" t="s">
        <v>904</v>
      </c>
      <c r="Z74" t="s">
        <v>9</v>
      </c>
      <c r="AA74" t="s">
        <v>28</v>
      </c>
      <c r="AB74" t="s">
        <v>24</v>
      </c>
      <c r="AC74" t="s">
        <v>905</v>
      </c>
      <c r="AD74" t="s">
        <v>531</v>
      </c>
      <c r="AE74" t="s">
        <v>906</v>
      </c>
      <c r="AG74" t="s">
        <v>907</v>
      </c>
      <c r="AH74" t="s">
        <v>908</v>
      </c>
      <c r="AI74" t="s">
        <v>909</v>
      </c>
      <c r="AK74" t="s">
        <v>33</v>
      </c>
      <c r="AL74" t="s">
        <v>518</v>
      </c>
      <c r="AM74" t="s">
        <v>15</v>
      </c>
      <c r="AN74" t="s">
        <v>187</v>
      </c>
      <c r="AO74" t="s">
        <v>264</v>
      </c>
      <c r="AP74" t="s">
        <v>39</v>
      </c>
    </row>
    <row r="75" spans="1:42" x14ac:dyDescent="0.3">
      <c r="A75" t="s">
        <v>20</v>
      </c>
      <c r="B75" t="s">
        <v>146</v>
      </c>
      <c r="C75" t="s">
        <v>164</v>
      </c>
      <c r="D75" t="s">
        <v>214</v>
      </c>
      <c r="E75" t="s">
        <v>136</v>
      </c>
      <c r="F75" t="s">
        <v>24</v>
      </c>
      <c r="G75" t="s">
        <v>910</v>
      </c>
      <c r="H75" t="s">
        <v>723</v>
      </c>
      <c r="I75" t="s">
        <v>146</v>
      </c>
      <c r="J75" t="s">
        <v>146</v>
      </c>
      <c r="K75" t="s">
        <v>27</v>
      </c>
      <c r="L75" t="s">
        <v>9</v>
      </c>
      <c r="M75" t="s">
        <v>200</v>
      </c>
      <c r="N75" t="s">
        <v>27</v>
      </c>
      <c r="O75" t="s">
        <v>15</v>
      </c>
      <c r="P75" t="s">
        <v>635</v>
      </c>
      <c r="Q75" t="s">
        <v>24</v>
      </c>
      <c r="R75" t="s">
        <v>408</v>
      </c>
      <c r="S75" t="s">
        <v>15</v>
      </c>
      <c r="T75" t="s">
        <v>292</v>
      </c>
      <c r="U75" t="s">
        <v>794</v>
      </c>
      <c r="V75" t="s">
        <v>835</v>
      </c>
      <c r="W75" t="s">
        <v>151</v>
      </c>
      <c r="X75" t="s">
        <v>911</v>
      </c>
      <c r="Y75" t="s">
        <v>295</v>
      </c>
      <c r="Z75" t="s">
        <v>27</v>
      </c>
      <c r="AA75" t="s">
        <v>24</v>
      </c>
      <c r="AB75" t="s">
        <v>14</v>
      </c>
      <c r="AC75" t="s">
        <v>912</v>
      </c>
      <c r="AD75" t="s">
        <v>229</v>
      </c>
      <c r="AE75" t="s">
        <v>913</v>
      </c>
      <c r="AG75" t="s">
        <v>638</v>
      </c>
      <c r="AH75" t="s">
        <v>512</v>
      </c>
      <c r="AI75" t="s">
        <v>914</v>
      </c>
      <c r="AK75" t="s">
        <v>42</v>
      </c>
      <c r="AL75" t="s">
        <v>731</v>
      </c>
      <c r="AM75" t="s">
        <v>9</v>
      </c>
      <c r="AN75" t="s">
        <v>356</v>
      </c>
      <c r="AO75" t="s">
        <v>164</v>
      </c>
      <c r="AP75" t="s">
        <v>39</v>
      </c>
    </row>
    <row r="76" spans="1:42" x14ac:dyDescent="0.3">
      <c r="A76" t="s">
        <v>11</v>
      </c>
      <c r="B76" t="s">
        <v>42</v>
      </c>
      <c r="C76" t="s">
        <v>145</v>
      </c>
      <c r="D76" t="s">
        <v>124</v>
      </c>
      <c r="E76" t="s">
        <v>154</v>
      </c>
      <c r="F76" t="s">
        <v>14</v>
      </c>
      <c r="G76" t="s">
        <v>516</v>
      </c>
      <c r="H76" t="s">
        <v>719</v>
      </c>
      <c r="I76" t="s">
        <v>185</v>
      </c>
      <c r="J76" t="s">
        <v>146</v>
      </c>
      <c r="K76" t="s">
        <v>3</v>
      </c>
      <c r="L76" t="s">
        <v>9</v>
      </c>
      <c r="M76" t="s">
        <v>252</v>
      </c>
      <c r="N76" t="s">
        <v>24</v>
      </c>
      <c r="O76" t="s">
        <v>3</v>
      </c>
      <c r="P76" t="s">
        <v>356</v>
      </c>
      <c r="Q76" t="s">
        <v>34</v>
      </c>
      <c r="R76" t="s">
        <v>263</v>
      </c>
      <c r="S76" t="s">
        <v>15</v>
      </c>
      <c r="T76" t="s">
        <v>915</v>
      </c>
      <c r="U76" t="s">
        <v>690</v>
      </c>
      <c r="V76" t="s">
        <v>916</v>
      </c>
      <c r="W76" t="s">
        <v>185</v>
      </c>
      <c r="X76" t="s">
        <v>917</v>
      </c>
      <c r="Y76" t="s">
        <v>918</v>
      </c>
      <c r="Z76" t="s">
        <v>3</v>
      </c>
      <c r="AA76" t="s">
        <v>33</v>
      </c>
      <c r="AB76" t="s">
        <v>33</v>
      </c>
      <c r="AC76" t="s">
        <v>919</v>
      </c>
      <c r="AD76" t="s">
        <v>530</v>
      </c>
      <c r="AE76" t="s">
        <v>920</v>
      </c>
      <c r="AG76" t="s">
        <v>829</v>
      </c>
      <c r="AH76" t="s">
        <v>195</v>
      </c>
      <c r="AI76" t="s">
        <v>921</v>
      </c>
      <c r="AK76" t="s">
        <v>111</v>
      </c>
      <c r="AL76" t="s">
        <v>420</v>
      </c>
      <c r="AM76" t="s">
        <v>15</v>
      </c>
      <c r="AN76" t="s">
        <v>152</v>
      </c>
      <c r="AO76" t="s">
        <v>145</v>
      </c>
      <c r="AP76" t="s">
        <v>39</v>
      </c>
    </row>
    <row r="77" spans="1:42" x14ac:dyDescent="0.3">
      <c r="A77" t="s">
        <v>41</v>
      </c>
      <c r="B77" t="s">
        <v>42</v>
      </c>
      <c r="C77" t="s">
        <v>269</v>
      </c>
      <c r="D77" t="s">
        <v>252</v>
      </c>
      <c r="E77" t="s">
        <v>165</v>
      </c>
      <c r="F77" t="s">
        <v>27</v>
      </c>
      <c r="G77" t="s">
        <v>922</v>
      </c>
      <c r="H77" t="s">
        <v>270</v>
      </c>
      <c r="I77" t="s">
        <v>34</v>
      </c>
      <c r="J77" t="s">
        <v>28</v>
      </c>
      <c r="K77" t="s">
        <v>9</v>
      </c>
      <c r="L77" t="s">
        <v>15</v>
      </c>
      <c r="M77" t="s">
        <v>303</v>
      </c>
      <c r="N77" t="s">
        <v>14</v>
      </c>
      <c r="O77" t="s">
        <v>15</v>
      </c>
      <c r="P77" t="s">
        <v>154</v>
      </c>
      <c r="Q77" t="s">
        <v>34</v>
      </c>
      <c r="R77" t="s">
        <v>237</v>
      </c>
      <c r="S77" t="s">
        <v>15</v>
      </c>
      <c r="T77" t="s">
        <v>134</v>
      </c>
      <c r="U77" t="s">
        <v>923</v>
      </c>
      <c r="V77" t="s">
        <v>803</v>
      </c>
      <c r="W77" t="s">
        <v>151</v>
      </c>
      <c r="X77" t="s">
        <v>924</v>
      </c>
      <c r="Y77" t="s">
        <v>787</v>
      </c>
      <c r="Z77" t="s">
        <v>14</v>
      </c>
      <c r="AA77" t="s">
        <v>28</v>
      </c>
      <c r="AB77" t="s">
        <v>24</v>
      </c>
      <c r="AC77" t="s">
        <v>925</v>
      </c>
      <c r="AD77" t="s">
        <v>105</v>
      </c>
      <c r="AE77" t="s">
        <v>746</v>
      </c>
      <c r="AG77" t="s">
        <v>926</v>
      </c>
      <c r="AH77" t="s">
        <v>338</v>
      </c>
      <c r="AI77" t="s">
        <v>927</v>
      </c>
      <c r="AK77" t="s">
        <v>28</v>
      </c>
      <c r="AL77" t="s">
        <v>928</v>
      </c>
      <c r="AM77" t="s">
        <v>3</v>
      </c>
      <c r="AN77" t="s">
        <v>929</v>
      </c>
      <c r="AO77" t="s">
        <v>303</v>
      </c>
      <c r="AP77" t="s">
        <v>39</v>
      </c>
    </row>
    <row r="78" spans="1:42" x14ac:dyDescent="0.3">
      <c r="A78" t="s">
        <v>40</v>
      </c>
      <c r="B78" t="s">
        <v>34</v>
      </c>
      <c r="C78" t="s">
        <v>126</v>
      </c>
      <c r="D78" t="s">
        <v>214</v>
      </c>
      <c r="E78" t="s">
        <v>147</v>
      </c>
      <c r="F78" t="s">
        <v>9</v>
      </c>
      <c r="G78" t="s">
        <v>930</v>
      </c>
      <c r="H78" t="s">
        <v>239</v>
      </c>
      <c r="I78" t="s">
        <v>131</v>
      </c>
      <c r="J78" t="s">
        <v>28</v>
      </c>
      <c r="K78" t="s">
        <v>28</v>
      </c>
      <c r="L78" t="s">
        <v>9</v>
      </c>
      <c r="M78" t="s">
        <v>200</v>
      </c>
      <c r="N78" t="s">
        <v>27</v>
      </c>
      <c r="O78" t="s">
        <v>9</v>
      </c>
      <c r="P78" t="s">
        <v>515</v>
      </c>
      <c r="Q78" t="s">
        <v>14</v>
      </c>
      <c r="R78" t="s">
        <v>324</v>
      </c>
      <c r="S78" t="s">
        <v>15</v>
      </c>
      <c r="T78" t="s">
        <v>292</v>
      </c>
      <c r="U78" t="s">
        <v>898</v>
      </c>
      <c r="V78" t="s">
        <v>409</v>
      </c>
      <c r="W78" t="s">
        <v>185</v>
      </c>
      <c r="X78" t="s">
        <v>753</v>
      </c>
      <c r="Y78" t="s">
        <v>659</v>
      </c>
      <c r="Z78" t="s">
        <v>9</v>
      </c>
      <c r="AA78" t="s">
        <v>42</v>
      </c>
      <c r="AB78" t="s">
        <v>24</v>
      </c>
      <c r="AC78" t="s">
        <v>931</v>
      </c>
      <c r="AD78" t="s">
        <v>104</v>
      </c>
      <c r="AE78" t="s">
        <v>932</v>
      </c>
      <c r="AG78" t="s">
        <v>933</v>
      </c>
      <c r="AH78" t="s">
        <v>719</v>
      </c>
      <c r="AI78" t="s">
        <v>934</v>
      </c>
      <c r="AK78" t="s">
        <v>33</v>
      </c>
      <c r="AL78" t="s">
        <v>935</v>
      </c>
      <c r="AM78" t="s">
        <v>14</v>
      </c>
      <c r="AN78" t="s">
        <v>325</v>
      </c>
      <c r="AO78" t="s">
        <v>114</v>
      </c>
      <c r="AP78" t="s">
        <v>39</v>
      </c>
    </row>
    <row r="79" spans="1:42" x14ac:dyDescent="0.3">
      <c r="A79" t="s">
        <v>18</v>
      </c>
      <c r="B79" t="s">
        <v>34</v>
      </c>
      <c r="C79" t="s">
        <v>164</v>
      </c>
      <c r="D79" t="s">
        <v>197</v>
      </c>
      <c r="E79" t="s">
        <v>128</v>
      </c>
      <c r="F79" t="s">
        <v>14</v>
      </c>
      <c r="G79" t="s">
        <v>936</v>
      </c>
      <c r="H79" t="s">
        <v>664</v>
      </c>
      <c r="I79" t="s">
        <v>109</v>
      </c>
      <c r="J79" t="s">
        <v>185</v>
      </c>
      <c r="K79" t="s">
        <v>33</v>
      </c>
      <c r="L79" t="s">
        <v>3</v>
      </c>
      <c r="M79" t="s">
        <v>132</v>
      </c>
      <c r="N79" t="s">
        <v>28</v>
      </c>
      <c r="O79" t="s">
        <v>15</v>
      </c>
      <c r="P79" t="s">
        <v>282</v>
      </c>
      <c r="Q79" t="s">
        <v>34</v>
      </c>
      <c r="R79" t="s">
        <v>515</v>
      </c>
      <c r="S79" t="s">
        <v>27</v>
      </c>
      <c r="T79" t="s">
        <v>446</v>
      </c>
      <c r="U79" t="s">
        <v>937</v>
      </c>
      <c r="V79" t="s">
        <v>938</v>
      </c>
      <c r="W79" t="s">
        <v>146</v>
      </c>
      <c r="X79" t="s">
        <v>939</v>
      </c>
      <c r="Y79" t="s">
        <v>940</v>
      </c>
      <c r="Z79" t="s">
        <v>14</v>
      </c>
      <c r="AA79" t="s">
        <v>28</v>
      </c>
      <c r="AB79" t="s">
        <v>24</v>
      </c>
      <c r="AC79" t="s">
        <v>941</v>
      </c>
      <c r="AD79" t="s">
        <v>942</v>
      </c>
      <c r="AE79" t="s">
        <v>943</v>
      </c>
      <c r="AG79" t="s">
        <v>852</v>
      </c>
      <c r="AH79" t="s">
        <v>908</v>
      </c>
      <c r="AI79" t="s">
        <v>944</v>
      </c>
      <c r="AK79" t="s">
        <v>34</v>
      </c>
      <c r="AL79" t="s">
        <v>945</v>
      </c>
      <c r="AM79" t="s">
        <v>3</v>
      </c>
      <c r="AN79" t="s">
        <v>110</v>
      </c>
      <c r="AO79" t="s">
        <v>171</v>
      </c>
      <c r="AP79" t="s">
        <v>39</v>
      </c>
    </row>
    <row r="80" spans="1:42" x14ac:dyDescent="0.3">
      <c r="A80" t="s">
        <v>12</v>
      </c>
      <c r="B80" t="s">
        <v>33</v>
      </c>
      <c r="C80" t="s">
        <v>126</v>
      </c>
      <c r="D80" t="s">
        <v>291</v>
      </c>
      <c r="E80" t="s">
        <v>322</v>
      </c>
      <c r="F80" t="s">
        <v>24</v>
      </c>
      <c r="G80" t="s">
        <v>946</v>
      </c>
      <c r="H80" t="s">
        <v>472</v>
      </c>
      <c r="I80" t="s">
        <v>33</v>
      </c>
      <c r="J80" t="s">
        <v>33</v>
      </c>
      <c r="K80" t="s">
        <v>14</v>
      </c>
      <c r="L80" t="s">
        <v>3</v>
      </c>
      <c r="M80" t="s">
        <v>336</v>
      </c>
      <c r="N80" t="s">
        <v>14</v>
      </c>
      <c r="O80" t="s">
        <v>9</v>
      </c>
      <c r="P80" t="s">
        <v>410</v>
      </c>
      <c r="Q80" t="s">
        <v>33</v>
      </c>
      <c r="R80" t="s">
        <v>515</v>
      </c>
      <c r="S80" t="s">
        <v>15</v>
      </c>
      <c r="T80" t="s">
        <v>366</v>
      </c>
      <c r="U80" t="s">
        <v>829</v>
      </c>
      <c r="V80" t="s">
        <v>576</v>
      </c>
      <c r="W80" t="s">
        <v>131</v>
      </c>
      <c r="X80" t="s">
        <v>947</v>
      </c>
      <c r="Y80" t="s">
        <v>948</v>
      </c>
      <c r="Z80" t="s">
        <v>14</v>
      </c>
      <c r="AA80" t="s">
        <v>42</v>
      </c>
      <c r="AB80" t="s">
        <v>34</v>
      </c>
      <c r="AC80" t="s">
        <v>949</v>
      </c>
      <c r="AD80" t="s">
        <v>201</v>
      </c>
      <c r="AE80" t="s">
        <v>950</v>
      </c>
      <c r="AG80" t="s">
        <v>823</v>
      </c>
      <c r="AH80" t="s">
        <v>709</v>
      </c>
      <c r="AI80" t="s">
        <v>481</v>
      </c>
      <c r="AK80" t="s">
        <v>27</v>
      </c>
      <c r="AL80" t="s">
        <v>857</v>
      </c>
      <c r="AM80" t="s">
        <v>3</v>
      </c>
      <c r="AN80" t="s">
        <v>104</v>
      </c>
      <c r="AO80" t="s">
        <v>114</v>
      </c>
      <c r="AP80" t="s">
        <v>39</v>
      </c>
    </row>
    <row r="81" spans="1:42" x14ac:dyDescent="0.3">
      <c r="A81" t="s">
        <v>38</v>
      </c>
      <c r="B81" t="s">
        <v>28</v>
      </c>
      <c r="C81" t="s">
        <v>145</v>
      </c>
      <c r="D81" t="s">
        <v>291</v>
      </c>
      <c r="E81" t="s">
        <v>127</v>
      </c>
      <c r="F81" t="s">
        <v>28</v>
      </c>
      <c r="G81" t="s">
        <v>951</v>
      </c>
      <c r="H81" t="s">
        <v>153</v>
      </c>
      <c r="I81" t="s">
        <v>28</v>
      </c>
      <c r="J81" t="s">
        <v>34</v>
      </c>
      <c r="K81" t="s">
        <v>28</v>
      </c>
      <c r="L81" t="s">
        <v>9</v>
      </c>
      <c r="M81" t="s">
        <v>114</v>
      </c>
      <c r="N81" t="s">
        <v>33</v>
      </c>
      <c r="O81" t="s">
        <v>3</v>
      </c>
      <c r="P81" t="s">
        <v>527</v>
      </c>
      <c r="Q81" t="s">
        <v>33</v>
      </c>
      <c r="R81" t="s">
        <v>503</v>
      </c>
      <c r="S81" t="s">
        <v>15</v>
      </c>
      <c r="T81" t="s">
        <v>952</v>
      </c>
      <c r="U81" t="s">
        <v>953</v>
      </c>
      <c r="V81" t="s">
        <v>954</v>
      </c>
      <c r="W81" t="s">
        <v>109</v>
      </c>
      <c r="X81" t="s">
        <v>955</v>
      </c>
      <c r="Y81" t="s">
        <v>849</v>
      </c>
      <c r="Z81" t="s">
        <v>24</v>
      </c>
      <c r="AA81" t="s">
        <v>34</v>
      </c>
      <c r="AB81" t="s">
        <v>33</v>
      </c>
      <c r="AC81" t="s">
        <v>956</v>
      </c>
      <c r="AD81" t="s">
        <v>152</v>
      </c>
      <c r="AE81" t="s">
        <v>957</v>
      </c>
      <c r="AG81" t="s">
        <v>958</v>
      </c>
      <c r="AH81" t="s">
        <v>959</v>
      </c>
      <c r="AI81" t="s">
        <v>960</v>
      </c>
      <c r="AK81" t="s">
        <v>27</v>
      </c>
      <c r="AL81" t="s">
        <v>961</v>
      </c>
      <c r="AM81" t="s">
        <v>3</v>
      </c>
      <c r="AN81" t="s">
        <v>166</v>
      </c>
      <c r="AO81" t="s">
        <v>152</v>
      </c>
      <c r="AP81" t="s">
        <v>39</v>
      </c>
    </row>
    <row r="82" spans="1:42" x14ac:dyDescent="0.3">
      <c r="A82" t="s">
        <v>22</v>
      </c>
      <c r="B82" t="s">
        <v>133</v>
      </c>
      <c r="C82" t="s">
        <v>27</v>
      </c>
      <c r="D82" t="s">
        <v>278</v>
      </c>
      <c r="E82" t="s">
        <v>237</v>
      </c>
      <c r="F82" t="s">
        <v>14</v>
      </c>
      <c r="G82" t="s">
        <v>962</v>
      </c>
      <c r="H82" t="s">
        <v>373</v>
      </c>
      <c r="I82" t="s">
        <v>151</v>
      </c>
      <c r="J82" t="s">
        <v>269</v>
      </c>
      <c r="K82" t="s">
        <v>14</v>
      </c>
      <c r="L82" t="s">
        <v>3</v>
      </c>
      <c r="M82" t="s">
        <v>433</v>
      </c>
      <c r="N82" t="s">
        <v>33</v>
      </c>
      <c r="O82" t="s">
        <v>24</v>
      </c>
      <c r="P82" t="s">
        <v>313</v>
      </c>
      <c r="Q82" t="s">
        <v>151</v>
      </c>
      <c r="R82" t="s">
        <v>124</v>
      </c>
      <c r="S82" t="s">
        <v>15</v>
      </c>
      <c r="T82" t="s">
        <v>963</v>
      </c>
      <c r="U82" t="s">
        <v>964</v>
      </c>
      <c r="V82" t="s">
        <v>796</v>
      </c>
      <c r="W82" t="s">
        <v>181</v>
      </c>
      <c r="X82" t="s">
        <v>521</v>
      </c>
      <c r="Y82" t="s">
        <v>965</v>
      </c>
      <c r="Z82" t="s">
        <v>3</v>
      </c>
      <c r="AA82" t="s">
        <v>28</v>
      </c>
      <c r="AB82" t="s">
        <v>24</v>
      </c>
      <c r="AC82" t="s">
        <v>966</v>
      </c>
      <c r="AD82" t="s">
        <v>373</v>
      </c>
      <c r="AE82" t="s">
        <v>967</v>
      </c>
      <c r="AF82" t="s">
        <v>968</v>
      </c>
      <c r="AG82" t="s">
        <v>696</v>
      </c>
      <c r="AH82" t="s">
        <v>816</v>
      </c>
      <c r="AI82" t="s">
        <v>969</v>
      </c>
      <c r="AJ82" t="s">
        <v>356</v>
      </c>
      <c r="AK82" t="s">
        <v>9</v>
      </c>
      <c r="AL82" t="s">
        <v>970</v>
      </c>
      <c r="AM82" t="s">
        <v>15</v>
      </c>
      <c r="AN82" t="s">
        <v>249</v>
      </c>
      <c r="AO82" t="s">
        <v>113</v>
      </c>
      <c r="AP82" t="s">
        <v>43</v>
      </c>
    </row>
    <row r="83" spans="1:42" x14ac:dyDescent="0.3">
      <c r="A83" t="s">
        <v>25</v>
      </c>
      <c r="B83" t="s">
        <v>108</v>
      </c>
      <c r="C83" t="s">
        <v>42</v>
      </c>
      <c r="D83" t="s">
        <v>699</v>
      </c>
      <c r="E83" t="s">
        <v>166</v>
      </c>
      <c r="F83" t="s">
        <v>3</v>
      </c>
      <c r="G83" t="s">
        <v>886</v>
      </c>
      <c r="H83" t="s">
        <v>971</v>
      </c>
      <c r="I83" t="s">
        <v>108</v>
      </c>
      <c r="J83" t="s">
        <v>109</v>
      </c>
      <c r="K83" t="s">
        <v>28</v>
      </c>
      <c r="L83" t="s">
        <v>9</v>
      </c>
      <c r="M83" t="s">
        <v>345</v>
      </c>
      <c r="N83" t="s">
        <v>34</v>
      </c>
      <c r="O83" t="s">
        <v>27</v>
      </c>
      <c r="P83" t="s">
        <v>750</v>
      </c>
      <c r="Q83" t="s">
        <v>151</v>
      </c>
      <c r="R83" t="s">
        <v>423</v>
      </c>
      <c r="S83" t="s">
        <v>15</v>
      </c>
      <c r="T83" t="s">
        <v>134</v>
      </c>
      <c r="U83" t="s">
        <v>972</v>
      </c>
      <c r="V83" t="s">
        <v>275</v>
      </c>
      <c r="W83" t="s">
        <v>164</v>
      </c>
      <c r="X83" t="s">
        <v>973</v>
      </c>
      <c r="Y83" t="s">
        <v>289</v>
      </c>
      <c r="Z83" t="s">
        <v>3</v>
      </c>
      <c r="AA83" t="s">
        <v>14</v>
      </c>
      <c r="AB83" t="s">
        <v>9</v>
      </c>
      <c r="AC83" t="s">
        <v>974</v>
      </c>
      <c r="AD83" t="s">
        <v>975</v>
      </c>
      <c r="AE83" t="s">
        <v>643</v>
      </c>
      <c r="AF83" t="s">
        <v>976</v>
      </c>
      <c r="AG83" t="s">
        <v>190</v>
      </c>
      <c r="AH83" t="s">
        <v>609</v>
      </c>
      <c r="AI83" t="s">
        <v>977</v>
      </c>
      <c r="AJ83" t="s">
        <v>568</v>
      </c>
      <c r="AK83" t="s">
        <v>33</v>
      </c>
      <c r="AL83" t="s">
        <v>978</v>
      </c>
      <c r="AM83" t="s">
        <v>3</v>
      </c>
      <c r="AN83" t="s">
        <v>198</v>
      </c>
      <c r="AO83" t="s">
        <v>135</v>
      </c>
      <c r="AP83" t="s">
        <v>43</v>
      </c>
    </row>
    <row r="84" spans="1:42" x14ac:dyDescent="0.3">
      <c r="A84" t="s">
        <v>26</v>
      </c>
      <c r="B84" t="s">
        <v>108</v>
      </c>
      <c r="C84" t="s">
        <v>42</v>
      </c>
      <c r="D84" t="s">
        <v>105</v>
      </c>
      <c r="E84" t="s">
        <v>433</v>
      </c>
      <c r="F84" t="s">
        <v>24</v>
      </c>
      <c r="G84" t="s">
        <v>979</v>
      </c>
      <c r="H84" t="s">
        <v>343</v>
      </c>
      <c r="I84" t="s">
        <v>113</v>
      </c>
      <c r="J84" t="s">
        <v>27</v>
      </c>
      <c r="K84" t="s">
        <v>34</v>
      </c>
      <c r="L84" t="s">
        <v>9</v>
      </c>
      <c r="M84" t="s">
        <v>163</v>
      </c>
      <c r="N84" t="s">
        <v>42</v>
      </c>
      <c r="O84" t="s">
        <v>9</v>
      </c>
      <c r="P84" t="s">
        <v>471</v>
      </c>
      <c r="Q84" t="s">
        <v>269</v>
      </c>
      <c r="R84" t="s">
        <v>423</v>
      </c>
      <c r="S84" t="s">
        <v>9</v>
      </c>
      <c r="T84" t="s">
        <v>701</v>
      </c>
      <c r="U84" t="s">
        <v>980</v>
      </c>
      <c r="V84" t="s">
        <v>981</v>
      </c>
      <c r="W84" t="s">
        <v>27</v>
      </c>
      <c r="X84" t="s">
        <v>139</v>
      </c>
      <c r="Y84" t="s">
        <v>982</v>
      </c>
      <c r="Z84" t="s">
        <v>15</v>
      </c>
      <c r="AA84" t="s">
        <v>27</v>
      </c>
      <c r="AB84" t="s">
        <v>14</v>
      </c>
      <c r="AC84" t="s">
        <v>983</v>
      </c>
      <c r="AD84" t="s">
        <v>694</v>
      </c>
      <c r="AE84" t="s">
        <v>984</v>
      </c>
      <c r="AF84" t="s">
        <v>985</v>
      </c>
      <c r="AG84" t="s">
        <v>973</v>
      </c>
      <c r="AH84" t="s">
        <v>986</v>
      </c>
      <c r="AI84" t="s">
        <v>987</v>
      </c>
      <c r="AJ84" t="s">
        <v>163</v>
      </c>
      <c r="AK84" t="s">
        <v>9</v>
      </c>
      <c r="AL84" t="s">
        <v>183</v>
      </c>
      <c r="AM84" t="s">
        <v>3</v>
      </c>
      <c r="AN84" t="s">
        <v>515</v>
      </c>
      <c r="AO84" t="s">
        <v>114</v>
      </c>
      <c r="AP84" t="s">
        <v>43</v>
      </c>
    </row>
    <row r="85" spans="1:42" x14ac:dyDescent="0.3">
      <c r="A85" t="s">
        <v>5</v>
      </c>
      <c r="B85" t="s">
        <v>164</v>
      </c>
      <c r="C85" t="s">
        <v>34</v>
      </c>
      <c r="D85" t="s">
        <v>110</v>
      </c>
      <c r="E85" t="s">
        <v>154</v>
      </c>
      <c r="F85" t="s">
        <v>28</v>
      </c>
      <c r="G85" t="s">
        <v>988</v>
      </c>
      <c r="H85" t="s">
        <v>271</v>
      </c>
      <c r="I85" t="s">
        <v>133</v>
      </c>
      <c r="J85" t="s">
        <v>42</v>
      </c>
      <c r="K85" t="s">
        <v>27</v>
      </c>
      <c r="L85" t="s">
        <v>3</v>
      </c>
      <c r="M85" t="s">
        <v>408</v>
      </c>
      <c r="N85" t="s">
        <v>24</v>
      </c>
      <c r="O85" t="s">
        <v>14</v>
      </c>
      <c r="P85" t="s">
        <v>410</v>
      </c>
      <c r="Q85" t="s">
        <v>185</v>
      </c>
      <c r="R85" t="s">
        <v>227</v>
      </c>
      <c r="S85" t="s">
        <v>15</v>
      </c>
      <c r="T85" t="s">
        <v>358</v>
      </c>
      <c r="U85" t="s">
        <v>878</v>
      </c>
      <c r="V85" t="s">
        <v>804</v>
      </c>
      <c r="W85" t="s">
        <v>14</v>
      </c>
      <c r="X85" t="s">
        <v>989</v>
      </c>
      <c r="Y85" t="s">
        <v>990</v>
      </c>
      <c r="Z85" t="s">
        <v>3</v>
      </c>
      <c r="AA85" t="s">
        <v>42</v>
      </c>
      <c r="AB85" t="s">
        <v>28</v>
      </c>
      <c r="AC85" t="s">
        <v>991</v>
      </c>
      <c r="AD85" t="s">
        <v>992</v>
      </c>
      <c r="AE85" t="s">
        <v>993</v>
      </c>
      <c r="AF85" t="s">
        <v>453</v>
      </c>
      <c r="AG85" t="s">
        <v>994</v>
      </c>
      <c r="AH85" t="s">
        <v>975</v>
      </c>
      <c r="AI85" t="s">
        <v>995</v>
      </c>
      <c r="AJ85" t="s">
        <v>180</v>
      </c>
      <c r="AK85" t="s">
        <v>27</v>
      </c>
      <c r="AL85" t="s">
        <v>711</v>
      </c>
      <c r="AM85" t="s">
        <v>9</v>
      </c>
      <c r="AN85" t="s">
        <v>237</v>
      </c>
      <c r="AO85" t="s">
        <v>125</v>
      </c>
      <c r="AP85" t="s">
        <v>43</v>
      </c>
    </row>
    <row r="86" spans="1:42" x14ac:dyDescent="0.3">
      <c r="A86" t="s">
        <v>2</v>
      </c>
      <c r="B86" t="s">
        <v>181</v>
      </c>
      <c r="C86" t="s">
        <v>131</v>
      </c>
      <c r="D86" t="s">
        <v>166</v>
      </c>
      <c r="E86" t="s">
        <v>165</v>
      </c>
      <c r="F86" t="s">
        <v>9</v>
      </c>
      <c r="G86" t="s">
        <v>996</v>
      </c>
      <c r="H86" t="s">
        <v>235</v>
      </c>
      <c r="I86" t="s">
        <v>109</v>
      </c>
      <c r="J86" t="s">
        <v>34</v>
      </c>
      <c r="K86" t="s">
        <v>28</v>
      </c>
      <c r="L86" t="s">
        <v>3</v>
      </c>
      <c r="M86" t="s">
        <v>187</v>
      </c>
      <c r="N86" t="s">
        <v>24</v>
      </c>
      <c r="O86" t="s">
        <v>14</v>
      </c>
      <c r="P86" t="s">
        <v>215</v>
      </c>
      <c r="Q86" t="s">
        <v>131</v>
      </c>
      <c r="R86" t="s">
        <v>148</v>
      </c>
      <c r="S86" t="s">
        <v>15</v>
      </c>
      <c r="T86" t="s">
        <v>188</v>
      </c>
      <c r="U86" t="s">
        <v>997</v>
      </c>
      <c r="V86" t="s">
        <v>916</v>
      </c>
      <c r="W86" t="s">
        <v>9</v>
      </c>
      <c r="X86" t="s">
        <v>998</v>
      </c>
      <c r="Y86" t="s">
        <v>999</v>
      </c>
      <c r="Z86" t="s">
        <v>14</v>
      </c>
      <c r="AA86" t="s">
        <v>34</v>
      </c>
      <c r="AB86" t="s">
        <v>33</v>
      </c>
      <c r="AC86" t="s">
        <v>1000</v>
      </c>
      <c r="AD86" t="s">
        <v>740</v>
      </c>
      <c r="AE86" t="s">
        <v>1001</v>
      </c>
      <c r="AF86" t="s">
        <v>1002</v>
      </c>
      <c r="AG86" t="s">
        <v>742</v>
      </c>
      <c r="AH86" t="s">
        <v>373</v>
      </c>
      <c r="AI86" t="s">
        <v>1003</v>
      </c>
      <c r="AJ86" t="s">
        <v>227</v>
      </c>
      <c r="AK86" t="s">
        <v>28</v>
      </c>
      <c r="AL86" t="s">
        <v>1004</v>
      </c>
      <c r="AM86" t="s">
        <v>15</v>
      </c>
      <c r="AN86" t="s">
        <v>136</v>
      </c>
      <c r="AO86" t="s">
        <v>302</v>
      </c>
      <c r="AP86" t="s">
        <v>43</v>
      </c>
    </row>
    <row r="87" spans="1:42" x14ac:dyDescent="0.3">
      <c r="A87" t="s">
        <v>21</v>
      </c>
      <c r="B87" t="s">
        <v>113</v>
      </c>
      <c r="C87" t="s">
        <v>34</v>
      </c>
      <c r="D87" t="s">
        <v>325</v>
      </c>
      <c r="E87" t="s">
        <v>163</v>
      </c>
      <c r="F87" t="s">
        <v>9</v>
      </c>
      <c r="G87" t="s">
        <v>625</v>
      </c>
      <c r="H87" t="s">
        <v>664</v>
      </c>
      <c r="I87" t="s">
        <v>151</v>
      </c>
      <c r="J87" t="s">
        <v>146</v>
      </c>
      <c r="K87" t="s">
        <v>24</v>
      </c>
      <c r="L87" t="s">
        <v>15</v>
      </c>
      <c r="M87" t="s">
        <v>421</v>
      </c>
      <c r="N87" t="s">
        <v>151</v>
      </c>
      <c r="O87" t="s">
        <v>14</v>
      </c>
      <c r="P87" t="s">
        <v>166</v>
      </c>
      <c r="Q87" t="s">
        <v>34</v>
      </c>
      <c r="R87" t="s">
        <v>152</v>
      </c>
      <c r="S87" t="s">
        <v>15</v>
      </c>
      <c r="T87" t="s">
        <v>436</v>
      </c>
      <c r="U87" t="s">
        <v>898</v>
      </c>
      <c r="V87" t="s">
        <v>1005</v>
      </c>
      <c r="W87" t="s">
        <v>113</v>
      </c>
      <c r="X87" t="s">
        <v>1006</v>
      </c>
      <c r="Y87" t="s">
        <v>332</v>
      </c>
      <c r="Z87" t="s">
        <v>3</v>
      </c>
      <c r="AA87" t="s">
        <v>28</v>
      </c>
      <c r="AB87" t="s">
        <v>27</v>
      </c>
      <c r="AC87" t="s">
        <v>1007</v>
      </c>
      <c r="AD87" t="s">
        <v>170</v>
      </c>
      <c r="AE87" t="s">
        <v>1008</v>
      </c>
      <c r="AF87" t="s">
        <v>429</v>
      </c>
      <c r="AG87" t="s">
        <v>1009</v>
      </c>
      <c r="AH87" t="s">
        <v>107</v>
      </c>
      <c r="AI87" t="s">
        <v>1010</v>
      </c>
      <c r="AJ87" t="s">
        <v>163</v>
      </c>
      <c r="AK87" t="s">
        <v>28</v>
      </c>
      <c r="AL87" t="s">
        <v>806</v>
      </c>
      <c r="AM87" t="s">
        <v>9</v>
      </c>
      <c r="AN87" t="s">
        <v>322</v>
      </c>
      <c r="AO87" t="s">
        <v>356</v>
      </c>
      <c r="AP87" t="s">
        <v>43</v>
      </c>
    </row>
    <row r="88" spans="1:42" x14ac:dyDescent="0.3">
      <c r="A88" t="s">
        <v>7</v>
      </c>
      <c r="B88" t="s">
        <v>185</v>
      </c>
      <c r="C88" t="s">
        <v>146</v>
      </c>
      <c r="D88" t="s">
        <v>163</v>
      </c>
      <c r="E88" t="s">
        <v>325</v>
      </c>
      <c r="F88" t="s">
        <v>24</v>
      </c>
      <c r="G88" t="s">
        <v>990</v>
      </c>
      <c r="H88" t="s">
        <v>195</v>
      </c>
      <c r="I88" t="s">
        <v>34</v>
      </c>
      <c r="J88" t="s">
        <v>131</v>
      </c>
      <c r="K88" t="s">
        <v>14</v>
      </c>
      <c r="L88" t="s">
        <v>9</v>
      </c>
      <c r="M88" t="s">
        <v>227</v>
      </c>
      <c r="N88" t="s">
        <v>34</v>
      </c>
      <c r="O88" t="s">
        <v>27</v>
      </c>
      <c r="P88" t="s">
        <v>278</v>
      </c>
      <c r="Q88" t="s">
        <v>42</v>
      </c>
      <c r="R88" t="s">
        <v>249</v>
      </c>
      <c r="S88" t="s">
        <v>15</v>
      </c>
      <c r="T88" t="s">
        <v>186</v>
      </c>
      <c r="U88" t="s">
        <v>289</v>
      </c>
      <c r="V88" t="s">
        <v>865</v>
      </c>
      <c r="W88" t="s">
        <v>109</v>
      </c>
      <c r="X88" t="s">
        <v>1011</v>
      </c>
      <c r="Y88" t="s">
        <v>1012</v>
      </c>
      <c r="Z88" t="s">
        <v>9</v>
      </c>
      <c r="AA88" t="s">
        <v>9</v>
      </c>
      <c r="AB88" t="s">
        <v>9</v>
      </c>
      <c r="AC88" t="s">
        <v>1013</v>
      </c>
      <c r="AD88" t="s">
        <v>110</v>
      </c>
      <c r="AE88" t="s">
        <v>1014</v>
      </c>
      <c r="AF88" t="s">
        <v>1015</v>
      </c>
      <c r="AG88" t="s">
        <v>1016</v>
      </c>
      <c r="AH88" t="s">
        <v>1017</v>
      </c>
      <c r="AI88" t="s">
        <v>1018</v>
      </c>
      <c r="AJ88" t="s">
        <v>197</v>
      </c>
      <c r="AK88" t="s">
        <v>9</v>
      </c>
      <c r="AL88" t="s">
        <v>250</v>
      </c>
      <c r="AM88" t="s">
        <v>15</v>
      </c>
      <c r="AN88" t="s">
        <v>163</v>
      </c>
      <c r="AO88" t="s">
        <v>264</v>
      </c>
      <c r="AP88" t="s">
        <v>43</v>
      </c>
    </row>
    <row r="89" spans="1:42" x14ac:dyDescent="0.3">
      <c r="A89" t="s">
        <v>37</v>
      </c>
      <c r="B89" t="s">
        <v>185</v>
      </c>
      <c r="C89" t="s">
        <v>269</v>
      </c>
      <c r="D89" t="s">
        <v>152</v>
      </c>
      <c r="E89" t="s">
        <v>322</v>
      </c>
      <c r="F89" t="s">
        <v>9</v>
      </c>
      <c r="G89" t="s">
        <v>473</v>
      </c>
      <c r="H89" t="s">
        <v>470</v>
      </c>
      <c r="I89" t="s">
        <v>145</v>
      </c>
      <c r="J89" t="s">
        <v>111</v>
      </c>
      <c r="K89" t="s">
        <v>14</v>
      </c>
      <c r="L89" t="s">
        <v>9</v>
      </c>
      <c r="M89" t="s">
        <v>214</v>
      </c>
      <c r="N89" t="s">
        <v>27</v>
      </c>
      <c r="O89" t="s">
        <v>27</v>
      </c>
      <c r="P89" t="s">
        <v>136</v>
      </c>
      <c r="Q89" t="s">
        <v>42</v>
      </c>
      <c r="R89" t="s">
        <v>182</v>
      </c>
      <c r="S89" t="s">
        <v>15</v>
      </c>
      <c r="T89" t="s">
        <v>480</v>
      </c>
      <c r="U89" t="s">
        <v>468</v>
      </c>
      <c r="V89" t="s">
        <v>604</v>
      </c>
      <c r="W89" t="s">
        <v>185</v>
      </c>
      <c r="X89" t="s">
        <v>1019</v>
      </c>
      <c r="Y89" t="s">
        <v>1020</v>
      </c>
      <c r="Z89" t="s">
        <v>9</v>
      </c>
      <c r="AA89" t="s">
        <v>24</v>
      </c>
      <c r="AB89" t="s">
        <v>14</v>
      </c>
      <c r="AC89" t="s">
        <v>1021</v>
      </c>
      <c r="AD89" t="s">
        <v>635</v>
      </c>
      <c r="AE89" t="s">
        <v>1022</v>
      </c>
      <c r="AF89" t="s">
        <v>1023</v>
      </c>
      <c r="AG89" t="s">
        <v>1024</v>
      </c>
      <c r="AH89" t="s">
        <v>664</v>
      </c>
      <c r="AI89" t="s">
        <v>1025</v>
      </c>
      <c r="AJ89" t="s">
        <v>486</v>
      </c>
      <c r="AK89" t="s">
        <v>24</v>
      </c>
      <c r="AL89" t="s">
        <v>1026</v>
      </c>
      <c r="AM89" t="s">
        <v>9</v>
      </c>
      <c r="AN89" t="s">
        <v>127</v>
      </c>
      <c r="AO89" t="s">
        <v>145</v>
      </c>
      <c r="AP89" t="s">
        <v>43</v>
      </c>
    </row>
    <row r="90" spans="1:42" x14ac:dyDescent="0.3">
      <c r="A90" t="s">
        <v>6</v>
      </c>
      <c r="B90" t="s">
        <v>109</v>
      </c>
      <c r="C90" t="s">
        <v>131</v>
      </c>
      <c r="D90" t="s">
        <v>182</v>
      </c>
      <c r="E90" t="s">
        <v>433</v>
      </c>
      <c r="F90" t="s">
        <v>9</v>
      </c>
      <c r="G90" t="s">
        <v>390</v>
      </c>
      <c r="H90" t="s">
        <v>776</v>
      </c>
      <c r="I90" t="s">
        <v>164</v>
      </c>
      <c r="J90" t="s">
        <v>185</v>
      </c>
      <c r="K90" t="s">
        <v>27</v>
      </c>
      <c r="L90" t="s">
        <v>9</v>
      </c>
      <c r="M90" t="s">
        <v>214</v>
      </c>
      <c r="N90" t="s">
        <v>28</v>
      </c>
      <c r="O90" t="s">
        <v>27</v>
      </c>
      <c r="P90" t="s">
        <v>282</v>
      </c>
      <c r="Q90" t="s">
        <v>33</v>
      </c>
      <c r="R90" t="s">
        <v>166</v>
      </c>
      <c r="S90" t="s">
        <v>15</v>
      </c>
      <c r="T90" t="s">
        <v>512</v>
      </c>
      <c r="U90" t="s">
        <v>679</v>
      </c>
      <c r="V90" t="s">
        <v>830</v>
      </c>
      <c r="W90" t="s">
        <v>113</v>
      </c>
      <c r="X90" t="s">
        <v>1027</v>
      </c>
      <c r="Y90" t="s">
        <v>1028</v>
      </c>
      <c r="Z90" t="s">
        <v>3</v>
      </c>
      <c r="AA90" t="s">
        <v>27</v>
      </c>
      <c r="AB90" t="s">
        <v>27</v>
      </c>
      <c r="AC90" t="s">
        <v>1029</v>
      </c>
      <c r="AD90" t="s">
        <v>517</v>
      </c>
      <c r="AE90" t="s">
        <v>1030</v>
      </c>
      <c r="AF90" t="s">
        <v>707</v>
      </c>
      <c r="AG90" t="s">
        <v>1031</v>
      </c>
      <c r="AH90" t="s">
        <v>599</v>
      </c>
      <c r="AI90" t="s">
        <v>1032</v>
      </c>
      <c r="AJ90" t="s">
        <v>147</v>
      </c>
      <c r="AK90" t="s">
        <v>33</v>
      </c>
      <c r="AL90" t="s">
        <v>1033</v>
      </c>
      <c r="AM90" t="s">
        <v>15</v>
      </c>
      <c r="AN90" t="s">
        <v>264</v>
      </c>
      <c r="AO90" t="s">
        <v>125</v>
      </c>
      <c r="AP90" t="s">
        <v>43</v>
      </c>
    </row>
    <row r="91" spans="1:42" x14ac:dyDescent="0.3">
      <c r="A91" t="s">
        <v>20</v>
      </c>
      <c r="B91" t="s">
        <v>109</v>
      </c>
      <c r="C91" t="s">
        <v>113</v>
      </c>
      <c r="D91" t="s">
        <v>202</v>
      </c>
      <c r="E91" t="s">
        <v>408</v>
      </c>
      <c r="F91" t="s">
        <v>24</v>
      </c>
      <c r="G91" t="s">
        <v>1034</v>
      </c>
      <c r="H91" t="s">
        <v>364</v>
      </c>
      <c r="I91" t="s">
        <v>42</v>
      </c>
      <c r="J91" t="s">
        <v>146</v>
      </c>
      <c r="K91" t="s">
        <v>27</v>
      </c>
      <c r="L91" t="s">
        <v>3</v>
      </c>
      <c r="M91" t="s">
        <v>148</v>
      </c>
      <c r="N91" t="s">
        <v>34</v>
      </c>
      <c r="O91" t="s">
        <v>14</v>
      </c>
      <c r="P91" t="s">
        <v>147</v>
      </c>
      <c r="Q91" t="s">
        <v>24</v>
      </c>
      <c r="R91" t="s">
        <v>237</v>
      </c>
      <c r="S91" t="s">
        <v>15</v>
      </c>
      <c r="T91" t="s">
        <v>959</v>
      </c>
      <c r="U91" t="s">
        <v>387</v>
      </c>
      <c r="V91" t="s">
        <v>670</v>
      </c>
      <c r="W91" t="s">
        <v>181</v>
      </c>
      <c r="X91" t="s">
        <v>1035</v>
      </c>
      <c r="Y91" t="s">
        <v>661</v>
      </c>
      <c r="Z91" t="s">
        <v>15</v>
      </c>
      <c r="AA91" t="s">
        <v>28</v>
      </c>
      <c r="AB91" t="s">
        <v>14</v>
      </c>
      <c r="AC91" t="s">
        <v>1036</v>
      </c>
      <c r="AD91" t="s">
        <v>1037</v>
      </c>
      <c r="AE91" t="s">
        <v>1038</v>
      </c>
      <c r="AF91" t="s">
        <v>1039</v>
      </c>
      <c r="AG91" t="s">
        <v>1040</v>
      </c>
      <c r="AH91" t="s">
        <v>1041</v>
      </c>
      <c r="AI91" t="s">
        <v>1042</v>
      </c>
      <c r="AJ91" t="s">
        <v>214</v>
      </c>
      <c r="AK91" t="s">
        <v>146</v>
      </c>
      <c r="AL91" t="s">
        <v>346</v>
      </c>
      <c r="AM91" t="s">
        <v>9</v>
      </c>
      <c r="AN91" t="s">
        <v>152</v>
      </c>
      <c r="AO91" t="s">
        <v>135</v>
      </c>
      <c r="AP91" t="s">
        <v>43</v>
      </c>
    </row>
    <row r="92" spans="1:42" x14ac:dyDescent="0.3">
      <c r="A92" t="s">
        <v>29</v>
      </c>
      <c r="B92" t="s">
        <v>109</v>
      </c>
      <c r="C92" t="s">
        <v>151</v>
      </c>
      <c r="D92" t="s">
        <v>249</v>
      </c>
      <c r="E92" t="s">
        <v>147</v>
      </c>
      <c r="F92" t="s">
        <v>24</v>
      </c>
      <c r="G92" t="s">
        <v>468</v>
      </c>
      <c r="H92" t="s">
        <v>290</v>
      </c>
      <c r="I92" t="s">
        <v>146</v>
      </c>
      <c r="J92" t="s">
        <v>33</v>
      </c>
      <c r="K92" t="s">
        <v>27</v>
      </c>
      <c r="L92" t="s">
        <v>3</v>
      </c>
      <c r="M92" t="s">
        <v>421</v>
      </c>
      <c r="N92" t="s">
        <v>24</v>
      </c>
      <c r="O92" t="s">
        <v>9</v>
      </c>
      <c r="P92" t="s">
        <v>359</v>
      </c>
      <c r="Q92" t="s">
        <v>185</v>
      </c>
      <c r="R92" t="s">
        <v>237</v>
      </c>
      <c r="S92" t="s">
        <v>15</v>
      </c>
      <c r="T92" t="s">
        <v>281</v>
      </c>
      <c r="U92" t="s">
        <v>1043</v>
      </c>
      <c r="V92" t="s">
        <v>1044</v>
      </c>
      <c r="W92" t="s">
        <v>181</v>
      </c>
      <c r="X92" t="s">
        <v>1045</v>
      </c>
      <c r="Y92" t="s">
        <v>409</v>
      </c>
      <c r="Z92" t="s">
        <v>3</v>
      </c>
      <c r="AA92" t="s">
        <v>28</v>
      </c>
      <c r="AB92" t="s">
        <v>24</v>
      </c>
      <c r="AC92" t="s">
        <v>1046</v>
      </c>
      <c r="AD92" t="s">
        <v>550</v>
      </c>
      <c r="AE92" t="s">
        <v>438</v>
      </c>
      <c r="AF92" t="s">
        <v>582</v>
      </c>
      <c r="AG92" t="s">
        <v>1047</v>
      </c>
      <c r="AH92" t="s">
        <v>195</v>
      </c>
      <c r="AI92" t="s">
        <v>1018</v>
      </c>
      <c r="AJ92" t="s">
        <v>171</v>
      </c>
      <c r="AK92" t="s">
        <v>113</v>
      </c>
      <c r="AL92" t="s">
        <v>541</v>
      </c>
      <c r="AM92" t="s">
        <v>15</v>
      </c>
      <c r="AN92" t="s">
        <v>128</v>
      </c>
      <c r="AO92" t="s">
        <v>421</v>
      </c>
      <c r="AP92" t="s">
        <v>43</v>
      </c>
    </row>
    <row r="93" spans="1:42" x14ac:dyDescent="0.3">
      <c r="A93" t="s">
        <v>35</v>
      </c>
      <c r="B93" t="s">
        <v>109</v>
      </c>
      <c r="C93" t="s">
        <v>151</v>
      </c>
      <c r="D93" t="s">
        <v>237</v>
      </c>
      <c r="E93" t="s">
        <v>202</v>
      </c>
      <c r="F93" t="s">
        <v>33</v>
      </c>
      <c r="G93" t="s">
        <v>1048</v>
      </c>
      <c r="H93" t="s">
        <v>184</v>
      </c>
      <c r="I93" t="s">
        <v>109</v>
      </c>
      <c r="J93" t="s">
        <v>146</v>
      </c>
      <c r="K93" t="s">
        <v>27</v>
      </c>
      <c r="L93" t="s">
        <v>3</v>
      </c>
      <c r="M93" t="s">
        <v>356</v>
      </c>
      <c r="N93" t="s">
        <v>28</v>
      </c>
      <c r="O93" t="s">
        <v>14</v>
      </c>
      <c r="P93" t="s">
        <v>313</v>
      </c>
      <c r="Q93" t="s">
        <v>9</v>
      </c>
      <c r="R93" t="s">
        <v>433</v>
      </c>
      <c r="S93" t="s">
        <v>15</v>
      </c>
      <c r="T93" t="s">
        <v>530</v>
      </c>
      <c r="U93" t="s">
        <v>636</v>
      </c>
      <c r="V93" t="s">
        <v>1049</v>
      </c>
      <c r="W93" t="s">
        <v>146</v>
      </c>
      <c r="X93" t="s">
        <v>652</v>
      </c>
      <c r="Y93" t="s">
        <v>759</v>
      </c>
      <c r="Z93" t="s">
        <v>24</v>
      </c>
      <c r="AA93" t="s">
        <v>28</v>
      </c>
      <c r="AB93" t="s">
        <v>28</v>
      </c>
      <c r="AC93" t="s">
        <v>1050</v>
      </c>
      <c r="AD93" t="s">
        <v>203</v>
      </c>
      <c r="AE93" t="s">
        <v>1051</v>
      </c>
      <c r="AF93" t="s">
        <v>1052</v>
      </c>
      <c r="AG93" t="s">
        <v>1053</v>
      </c>
      <c r="AH93" t="s">
        <v>276</v>
      </c>
      <c r="AI93" t="s">
        <v>1054</v>
      </c>
      <c r="AJ93" t="s">
        <v>227</v>
      </c>
      <c r="AK93" t="s">
        <v>34</v>
      </c>
      <c r="AL93" t="s">
        <v>935</v>
      </c>
      <c r="AM93" t="s">
        <v>15</v>
      </c>
      <c r="AN93" t="s">
        <v>200</v>
      </c>
      <c r="AO93" t="s">
        <v>133</v>
      </c>
      <c r="AP93" t="s">
        <v>43</v>
      </c>
    </row>
    <row r="94" spans="1:42" x14ac:dyDescent="0.3">
      <c r="A94" t="s">
        <v>13</v>
      </c>
      <c r="B94" t="s">
        <v>111</v>
      </c>
      <c r="C94" t="s">
        <v>181</v>
      </c>
      <c r="D94" t="s">
        <v>152</v>
      </c>
      <c r="E94" t="s">
        <v>154</v>
      </c>
      <c r="F94" t="s">
        <v>24</v>
      </c>
      <c r="G94" t="s">
        <v>1055</v>
      </c>
      <c r="H94" t="s">
        <v>366</v>
      </c>
      <c r="I94" t="s">
        <v>146</v>
      </c>
      <c r="J94" t="s">
        <v>42</v>
      </c>
      <c r="K94" t="s">
        <v>3</v>
      </c>
      <c r="L94" t="s">
        <v>9</v>
      </c>
      <c r="M94" t="s">
        <v>486</v>
      </c>
      <c r="N94" t="s">
        <v>33</v>
      </c>
      <c r="O94" t="s">
        <v>3</v>
      </c>
      <c r="P94" t="s">
        <v>215</v>
      </c>
      <c r="Q94" t="s">
        <v>34</v>
      </c>
      <c r="R94" t="s">
        <v>166</v>
      </c>
      <c r="S94" t="s">
        <v>15</v>
      </c>
      <c r="T94" t="s">
        <v>512</v>
      </c>
      <c r="U94" t="s">
        <v>1056</v>
      </c>
      <c r="V94" t="s">
        <v>1057</v>
      </c>
      <c r="W94" t="s">
        <v>111</v>
      </c>
      <c r="X94" t="s">
        <v>1058</v>
      </c>
      <c r="Y94" t="s">
        <v>1059</v>
      </c>
      <c r="Z94" t="s">
        <v>3</v>
      </c>
      <c r="AA94" t="s">
        <v>34</v>
      </c>
      <c r="AB94" t="s">
        <v>28</v>
      </c>
      <c r="AC94" t="s">
        <v>1060</v>
      </c>
      <c r="AD94" t="s">
        <v>187</v>
      </c>
      <c r="AE94" t="s">
        <v>1061</v>
      </c>
      <c r="AF94" t="s">
        <v>1062</v>
      </c>
      <c r="AG94" t="s">
        <v>1063</v>
      </c>
      <c r="AH94" t="s">
        <v>364</v>
      </c>
      <c r="AI94" t="s">
        <v>1064</v>
      </c>
      <c r="AJ94" t="s">
        <v>148</v>
      </c>
      <c r="AK94" t="s">
        <v>34</v>
      </c>
      <c r="AL94" t="s">
        <v>1065</v>
      </c>
      <c r="AM94" t="s">
        <v>15</v>
      </c>
      <c r="AN94" t="s">
        <v>356</v>
      </c>
      <c r="AO94" t="s">
        <v>302</v>
      </c>
      <c r="AP94" t="s">
        <v>43</v>
      </c>
    </row>
    <row r="95" spans="1:42" x14ac:dyDescent="0.3">
      <c r="A95" t="s">
        <v>23</v>
      </c>
      <c r="B95" t="s">
        <v>111</v>
      </c>
      <c r="C95" t="s">
        <v>111</v>
      </c>
      <c r="D95" t="s">
        <v>268</v>
      </c>
      <c r="E95" t="s">
        <v>202</v>
      </c>
      <c r="F95" t="s">
        <v>3</v>
      </c>
      <c r="G95" t="s">
        <v>1066</v>
      </c>
      <c r="H95" t="s">
        <v>764</v>
      </c>
      <c r="I95" t="s">
        <v>146</v>
      </c>
      <c r="J95" t="s">
        <v>151</v>
      </c>
      <c r="K95" t="s">
        <v>9</v>
      </c>
      <c r="L95" t="s">
        <v>9</v>
      </c>
      <c r="M95" t="s">
        <v>214</v>
      </c>
      <c r="N95" t="s">
        <v>33</v>
      </c>
      <c r="O95" t="s">
        <v>9</v>
      </c>
      <c r="P95" t="s">
        <v>377</v>
      </c>
      <c r="Q95" t="s">
        <v>131</v>
      </c>
      <c r="R95" t="s">
        <v>227</v>
      </c>
      <c r="S95" t="s">
        <v>15</v>
      </c>
      <c r="T95" t="s">
        <v>153</v>
      </c>
      <c r="U95" t="s">
        <v>149</v>
      </c>
      <c r="V95" t="s">
        <v>1059</v>
      </c>
      <c r="W95" t="s">
        <v>24</v>
      </c>
      <c r="X95" t="s">
        <v>1067</v>
      </c>
      <c r="Y95" t="s">
        <v>400</v>
      </c>
      <c r="Z95" t="s">
        <v>24</v>
      </c>
      <c r="AA95" t="s">
        <v>3</v>
      </c>
      <c r="AB95" t="s">
        <v>15</v>
      </c>
      <c r="AC95" t="s">
        <v>1068</v>
      </c>
      <c r="AD95" t="s">
        <v>270</v>
      </c>
      <c r="AE95" t="s">
        <v>309</v>
      </c>
      <c r="AF95" t="s">
        <v>1069</v>
      </c>
      <c r="AG95" t="s">
        <v>747</v>
      </c>
      <c r="AH95" t="s">
        <v>664</v>
      </c>
      <c r="AI95" t="s">
        <v>1070</v>
      </c>
      <c r="AJ95" t="s">
        <v>200</v>
      </c>
      <c r="AK95" t="s">
        <v>109</v>
      </c>
      <c r="AL95" t="s">
        <v>445</v>
      </c>
      <c r="AM95" t="s">
        <v>3</v>
      </c>
      <c r="AN95" t="s">
        <v>324</v>
      </c>
      <c r="AO95" t="s">
        <v>124</v>
      </c>
      <c r="AP95" t="s">
        <v>43</v>
      </c>
    </row>
    <row r="96" spans="1:42" x14ac:dyDescent="0.3">
      <c r="A96" t="s">
        <v>10</v>
      </c>
      <c r="B96" t="s">
        <v>111</v>
      </c>
      <c r="C96" t="s">
        <v>131</v>
      </c>
      <c r="D96" t="s">
        <v>237</v>
      </c>
      <c r="E96" t="s">
        <v>278</v>
      </c>
      <c r="F96" t="s">
        <v>9</v>
      </c>
      <c r="G96" t="s">
        <v>1071</v>
      </c>
      <c r="H96" t="s">
        <v>1072</v>
      </c>
      <c r="I96" t="s">
        <v>146</v>
      </c>
      <c r="J96" t="s">
        <v>151</v>
      </c>
      <c r="K96" t="s">
        <v>24</v>
      </c>
      <c r="L96" t="s">
        <v>15</v>
      </c>
      <c r="M96" t="s">
        <v>356</v>
      </c>
      <c r="N96" t="s">
        <v>28</v>
      </c>
      <c r="O96" t="s">
        <v>3</v>
      </c>
      <c r="P96" t="s">
        <v>324</v>
      </c>
      <c r="Q96" t="s">
        <v>42</v>
      </c>
      <c r="R96" t="s">
        <v>147</v>
      </c>
      <c r="S96" t="s">
        <v>15</v>
      </c>
      <c r="T96" t="s">
        <v>281</v>
      </c>
      <c r="U96" t="s">
        <v>1073</v>
      </c>
      <c r="V96" t="s">
        <v>918</v>
      </c>
      <c r="W96" t="s">
        <v>111</v>
      </c>
      <c r="X96" t="s">
        <v>1074</v>
      </c>
      <c r="Y96" t="s">
        <v>1075</v>
      </c>
      <c r="Z96" t="s">
        <v>9</v>
      </c>
      <c r="AA96" t="s">
        <v>28</v>
      </c>
      <c r="AB96" t="s">
        <v>24</v>
      </c>
      <c r="AC96" t="s">
        <v>1076</v>
      </c>
      <c r="AD96" t="s">
        <v>201</v>
      </c>
      <c r="AE96" t="s">
        <v>890</v>
      </c>
      <c r="AF96" t="s">
        <v>1077</v>
      </c>
      <c r="AG96" t="s">
        <v>218</v>
      </c>
      <c r="AH96" t="s">
        <v>1078</v>
      </c>
      <c r="AI96" t="s">
        <v>1079</v>
      </c>
      <c r="AJ96" t="s">
        <v>128</v>
      </c>
      <c r="AK96" t="s">
        <v>33</v>
      </c>
      <c r="AL96" t="s">
        <v>1080</v>
      </c>
      <c r="AM96" t="s">
        <v>15</v>
      </c>
      <c r="AN96" t="s">
        <v>237</v>
      </c>
      <c r="AO96" t="s">
        <v>302</v>
      </c>
      <c r="AP96" t="s">
        <v>43</v>
      </c>
    </row>
    <row r="97" spans="1:42" x14ac:dyDescent="0.3">
      <c r="A97" t="s">
        <v>41</v>
      </c>
      <c r="B97" t="s">
        <v>111</v>
      </c>
      <c r="C97" t="s">
        <v>145</v>
      </c>
      <c r="D97" t="s">
        <v>152</v>
      </c>
      <c r="E97" t="s">
        <v>128</v>
      </c>
      <c r="F97" t="s">
        <v>9</v>
      </c>
      <c r="G97" t="s">
        <v>930</v>
      </c>
      <c r="H97" t="s">
        <v>436</v>
      </c>
      <c r="I97" t="s">
        <v>131</v>
      </c>
      <c r="J97" t="s">
        <v>146</v>
      </c>
      <c r="K97" t="s">
        <v>14</v>
      </c>
      <c r="L97" t="s">
        <v>3</v>
      </c>
      <c r="M97" t="s">
        <v>132</v>
      </c>
      <c r="N97" t="s">
        <v>24</v>
      </c>
      <c r="O97" t="s">
        <v>3</v>
      </c>
      <c r="P97" t="s">
        <v>410</v>
      </c>
      <c r="Q97" t="s">
        <v>24</v>
      </c>
      <c r="R97" t="s">
        <v>515</v>
      </c>
      <c r="S97" t="s">
        <v>15</v>
      </c>
      <c r="T97" t="s">
        <v>472</v>
      </c>
      <c r="U97" t="s">
        <v>183</v>
      </c>
      <c r="V97" t="s">
        <v>1081</v>
      </c>
      <c r="W97" t="s">
        <v>111</v>
      </c>
      <c r="X97" t="s">
        <v>1082</v>
      </c>
      <c r="Y97" t="s">
        <v>454</v>
      </c>
      <c r="Z97" t="s">
        <v>9</v>
      </c>
      <c r="AA97" t="s">
        <v>27</v>
      </c>
      <c r="AB97" t="s">
        <v>27</v>
      </c>
      <c r="AC97" t="s">
        <v>1083</v>
      </c>
      <c r="AD97" t="s">
        <v>324</v>
      </c>
      <c r="AE97" t="s">
        <v>1084</v>
      </c>
      <c r="AF97" t="s">
        <v>1085</v>
      </c>
      <c r="AG97" t="s">
        <v>1086</v>
      </c>
      <c r="AH97" t="s">
        <v>836</v>
      </c>
      <c r="AI97" t="s">
        <v>1087</v>
      </c>
      <c r="AJ97" t="s">
        <v>303</v>
      </c>
      <c r="AK97" t="s">
        <v>33</v>
      </c>
      <c r="AL97" t="s">
        <v>1088</v>
      </c>
      <c r="AM97" t="s">
        <v>15</v>
      </c>
      <c r="AN97" t="s">
        <v>198</v>
      </c>
      <c r="AO97" t="s">
        <v>164</v>
      </c>
      <c r="AP97" t="s">
        <v>43</v>
      </c>
    </row>
    <row r="98" spans="1:42" x14ac:dyDescent="0.3">
      <c r="A98" t="s">
        <v>44</v>
      </c>
      <c r="B98" t="s">
        <v>146</v>
      </c>
      <c r="C98" t="s">
        <v>164</v>
      </c>
      <c r="D98" t="s">
        <v>325</v>
      </c>
      <c r="E98" t="s">
        <v>197</v>
      </c>
      <c r="F98" t="s">
        <v>9</v>
      </c>
      <c r="G98" t="s">
        <v>551</v>
      </c>
      <c r="H98" t="s">
        <v>876</v>
      </c>
      <c r="I98" t="s">
        <v>111</v>
      </c>
      <c r="J98" t="s">
        <v>34</v>
      </c>
      <c r="K98" t="s">
        <v>33</v>
      </c>
      <c r="L98" t="s">
        <v>14</v>
      </c>
      <c r="M98" t="s">
        <v>148</v>
      </c>
      <c r="N98" t="s">
        <v>111</v>
      </c>
      <c r="O98" t="s">
        <v>14</v>
      </c>
      <c r="P98" t="s">
        <v>1089</v>
      </c>
      <c r="Q98" t="s">
        <v>28</v>
      </c>
      <c r="R98" t="s">
        <v>278</v>
      </c>
      <c r="S98" t="s">
        <v>14</v>
      </c>
      <c r="T98" t="s">
        <v>1090</v>
      </c>
      <c r="U98" t="s">
        <v>357</v>
      </c>
      <c r="V98" t="s">
        <v>1091</v>
      </c>
      <c r="W98" t="s">
        <v>33</v>
      </c>
      <c r="X98" t="s">
        <v>1092</v>
      </c>
      <c r="Y98" t="s">
        <v>242</v>
      </c>
      <c r="Z98" t="s">
        <v>24</v>
      </c>
      <c r="AA98" t="s">
        <v>14</v>
      </c>
      <c r="AB98" t="s">
        <v>9</v>
      </c>
      <c r="AC98" t="s">
        <v>1093</v>
      </c>
      <c r="AD98" t="s">
        <v>503</v>
      </c>
      <c r="AE98" t="s">
        <v>1094</v>
      </c>
      <c r="AF98" t="s">
        <v>1095</v>
      </c>
      <c r="AG98" t="s">
        <v>1096</v>
      </c>
      <c r="AH98" t="s">
        <v>512</v>
      </c>
      <c r="AI98" t="s">
        <v>1097</v>
      </c>
      <c r="AJ98" t="s">
        <v>152</v>
      </c>
      <c r="AK98" t="s">
        <v>113</v>
      </c>
      <c r="AL98" t="s">
        <v>528</v>
      </c>
      <c r="AM98" t="s">
        <v>15</v>
      </c>
      <c r="AN98" t="s">
        <v>268</v>
      </c>
      <c r="AO98" t="s">
        <v>303</v>
      </c>
      <c r="AP98" t="s">
        <v>43</v>
      </c>
    </row>
    <row r="99" spans="1:42" x14ac:dyDescent="0.3">
      <c r="A99" t="s">
        <v>11</v>
      </c>
      <c r="B99" t="s">
        <v>42</v>
      </c>
      <c r="C99" t="s">
        <v>131</v>
      </c>
      <c r="D99" t="s">
        <v>421</v>
      </c>
      <c r="E99" t="s">
        <v>408</v>
      </c>
      <c r="F99" t="s">
        <v>27</v>
      </c>
      <c r="G99" t="s">
        <v>434</v>
      </c>
      <c r="H99" t="s">
        <v>694</v>
      </c>
      <c r="I99" t="s">
        <v>42</v>
      </c>
      <c r="J99" t="s">
        <v>14</v>
      </c>
      <c r="K99" t="s">
        <v>9</v>
      </c>
      <c r="L99" t="s">
        <v>24</v>
      </c>
      <c r="M99" t="s">
        <v>252</v>
      </c>
      <c r="N99" t="s">
        <v>34</v>
      </c>
      <c r="O99" t="s">
        <v>24</v>
      </c>
      <c r="P99" t="s">
        <v>433</v>
      </c>
      <c r="Q99" t="s">
        <v>33</v>
      </c>
      <c r="R99" t="s">
        <v>345</v>
      </c>
      <c r="S99" t="s">
        <v>15</v>
      </c>
      <c r="T99" t="s">
        <v>459</v>
      </c>
      <c r="U99" t="s">
        <v>840</v>
      </c>
      <c r="V99" t="s">
        <v>1098</v>
      </c>
      <c r="W99" t="s">
        <v>145</v>
      </c>
      <c r="X99" t="s">
        <v>1099</v>
      </c>
      <c r="Y99" t="s">
        <v>1100</v>
      </c>
      <c r="Z99" t="s">
        <v>15</v>
      </c>
      <c r="AA99" t="s">
        <v>28</v>
      </c>
      <c r="AB99" t="s">
        <v>27</v>
      </c>
      <c r="AC99" t="s">
        <v>1101</v>
      </c>
      <c r="AD99" t="s">
        <v>170</v>
      </c>
      <c r="AE99" t="s">
        <v>1102</v>
      </c>
      <c r="AF99" t="s">
        <v>1103</v>
      </c>
      <c r="AG99" t="s">
        <v>432</v>
      </c>
      <c r="AH99" t="s">
        <v>422</v>
      </c>
      <c r="AI99" t="s">
        <v>1104</v>
      </c>
      <c r="AJ99" t="s">
        <v>486</v>
      </c>
      <c r="AK99" t="s">
        <v>24</v>
      </c>
      <c r="AL99" t="s">
        <v>793</v>
      </c>
      <c r="AM99" t="s">
        <v>3</v>
      </c>
      <c r="AN99" t="s">
        <v>356</v>
      </c>
      <c r="AO99" t="s">
        <v>125</v>
      </c>
      <c r="AP99" t="s">
        <v>43</v>
      </c>
    </row>
    <row r="100" spans="1:42" x14ac:dyDescent="0.3">
      <c r="A100" t="s">
        <v>32</v>
      </c>
      <c r="B100" t="s">
        <v>34</v>
      </c>
      <c r="C100" t="s">
        <v>151</v>
      </c>
      <c r="D100" t="s">
        <v>124</v>
      </c>
      <c r="E100" t="s">
        <v>147</v>
      </c>
      <c r="F100" t="s">
        <v>14</v>
      </c>
      <c r="G100" t="s">
        <v>1105</v>
      </c>
      <c r="H100" t="s">
        <v>785</v>
      </c>
      <c r="I100" t="s">
        <v>111</v>
      </c>
      <c r="J100" t="s">
        <v>146</v>
      </c>
      <c r="K100" t="s">
        <v>9</v>
      </c>
      <c r="L100" t="s">
        <v>15</v>
      </c>
      <c r="M100" t="s">
        <v>291</v>
      </c>
      <c r="N100" t="s">
        <v>14</v>
      </c>
      <c r="O100" t="s">
        <v>3</v>
      </c>
      <c r="P100" t="s">
        <v>337</v>
      </c>
      <c r="Q100" t="s">
        <v>42</v>
      </c>
      <c r="R100" t="s">
        <v>635</v>
      </c>
      <c r="S100" t="s">
        <v>15</v>
      </c>
      <c r="T100" t="s">
        <v>1106</v>
      </c>
      <c r="U100" t="s">
        <v>978</v>
      </c>
      <c r="V100" t="s">
        <v>149</v>
      </c>
      <c r="W100" t="s">
        <v>33</v>
      </c>
      <c r="X100" t="s">
        <v>1107</v>
      </c>
      <c r="Y100" t="s">
        <v>1108</v>
      </c>
      <c r="Z100" t="s">
        <v>27</v>
      </c>
      <c r="AA100" t="s">
        <v>28</v>
      </c>
      <c r="AB100" t="s">
        <v>24</v>
      </c>
      <c r="AC100" t="s">
        <v>1109</v>
      </c>
      <c r="AD100" t="s">
        <v>324</v>
      </c>
      <c r="AE100" t="s">
        <v>1110</v>
      </c>
      <c r="AF100" t="s">
        <v>1111</v>
      </c>
      <c r="AG100" t="s">
        <v>787</v>
      </c>
      <c r="AH100" t="s">
        <v>959</v>
      </c>
      <c r="AI100" t="s">
        <v>1112</v>
      </c>
      <c r="AJ100" t="s">
        <v>264</v>
      </c>
      <c r="AK100" t="s">
        <v>42</v>
      </c>
      <c r="AL100" t="s">
        <v>1113</v>
      </c>
      <c r="AM100" t="s">
        <v>3</v>
      </c>
      <c r="AN100" t="s">
        <v>433</v>
      </c>
      <c r="AO100" t="s">
        <v>108</v>
      </c>
      <c r="AP100" t="s">
        <v>43</v>
      </c>
    </row>
    <row r="101" spans="1:42" x14ac:dyDescent="0.3">
      <c r="A101" t="s">
        <v>18</v>
      </c>
      <c r="B101" t="s">
        <v>33</v>
      </c>
      <c r="C101" t="s">
        <v>164</v>
      </c>
      <c r="D101" t="s">
        <v>227</v>
      </c>
      <c r="E101" t="s">
        <v>166</v>
      </c>
      <c r="F101" t="s">
        <v>3</v>
      </c>
      <c r="G101" t="s">
        <v>667</v>
      </c>
      <c r="H101" t="s">
        <v>719</v>
      </c>
      <c r="I101" t="s">
        <v>269</v>
      </c>
      <c r="J101" t="s">
        <v>42</v>
      </c>
      <c r="K101" t="s">
        <v>24</v>
      </c>
      <c r="L101" t="s">
        <v>15</v>
      </c>
      <c r="M101" t="s">
        <v>200</v>
      </c>
      <c r="N101" t="s">
        <v>24</v>
      </c>
      <c r="O101" t="s">
        <v>3</v>
      </c>
      <c r="P101" t="s">
        <v>153</v>
      </c>
      <c r="Q101" t="s">
        <v>24</v>
      </c>
      <c r="R101" t="s">
        <v>568</v>
      </c>
      <c r="S101" t="s">
        <v>15</v>
      </c>
      <c r="T101" t="s">
        <v>184</v>
      </c>
      <c r="U101" t="s">
        <v>1114</v>
      </c>
      <c r="V101" t="s">
        <v>260</v>
      </c>
      <c r="W101" t="s">
        <v>185</v>
      </c>
      <c r="X101" t="s">
        <v>917</v>
      </c>
      <c r="Y101" t="s">
        <v>1115</v>
      </c>
      <c r="Z101" t="s">
        <v>9</v>
      </c>
      <c r="AA101" t="s">
        <v>28</v>
      </c>
      <c r="AB101" t="s">
        <v>24</v>
      </c>
      <c r="AC101" t="s">
        <v>1116</v>
      </c>
      <c r="AD101" t="s">
        <v>530</v>
      </c>
      <c r="AE101" t="s">
        <v>762</v>
      </c>
      <c r="AF101" t="s">
        <v>1117</v>
      </c>
      <c r="AG101" t="s">
        <v>1118</v>
      </c>
      <c r="AH101" t="s">
        <v>195</v>
      </c>
      <c r="AI101" t="s">
        <v>1119</v>
      </c>
      <c r="AJ101" t="s">
        <v>148</v>
      </c>
      <c r="AK101" t="s">
        <v>42</v>
      </c>
      <c r="AL101" t="s">
        <v>713</v>
      </c>
      <c r="AM101" t="s">
        <v>3</v>
      </c>
      <c r="AN101" t="s">
        <v>486</v>
      </c>
      <c r="AO101" t="s">
        <v>132</v>
      </c>
      <c r="AP101" t="s">
        <v>43</v>
      </c>
    </row>
    <row r="102" spans="1:42" x14ac:dyDescent="0.3">
      <c r="A102" t="s">
        <v>26</v>
      </c>
      <c r="B102" t="s">
        <v>103</v>
      </c>
      <c r="C102" t="s">
        <v>24</v>
      </c>
      <c r="D102" t="s">
        <v>410</v>
      </c>
      <c r="E102" t="s">
        <v>163</v>
      </c>
      <c r="F102" t="s">
        <v>24</v>
      </c>
      <c r="G102" t="s">
        <v>640</v>
      </c>
      <c r="H102" t="s">
        <v>1120</v>
      </c>
      <c r="I102" t="s">
        <v>108</v>
      </c>
      <c r="J102" t="s">
        <v>146</v>
      </c>
      <c r="K102" t="s">
        <v>33</v>
      </c>
      <c r="L102" t="s">
        <v>3</v>
      </c>
      <c r="M102" t="s">
        <v>172</v>
      </c>
      <c r="N102" t="s">
        <v>145</v>
      </c>
      <c r="O102" t="s">
        <v>28</v>
      </c>
      <c r="P102" t="s">
        <v>279</v>
      </c>
      <c r="Q102" t="s">
        <v>181</v>
      </c>
      <c r="R102" t="s">
        <v>303</v>
      </c>
      <c r="S102" t="s">
        <v>3</v>
      </c>
      <c r="T102" t="s">
        <v>170</v>
      </c>
      <c r="U102" t="s">
        <v>1121</v>
      </c>
      <c r="V102" t="s">
        <v>1043</v>
      </c>
      <c r="W102" t="s">
        <v>28</v>
      </c>
      <c r="X102" t="s">
        <v>773</v>
      </c>
      <c r="Y102" t="s">
        <v>250</v>
      </c>
      <c r="Z102" t="s">
        <v>9</v>
      </c>
      <c r="AA102" t="s">
        <v>14</v>
      </c>
      <c r="AB102" t="s">
        <v>9</v>
      </c>
      <c r="AC102" t="s">
        <v>1122</v>
      </c>
      <c r="AD102" t="s">
        <v>1123</v>
      </c>
      <c r="AE102" t="s">
        <v>1124</v>
      </c>
      <c r="AF102" t="s">
        <v>1125</v>
      </c>
      <c r="AG102" t="s">
        <v>1126</v>
      </c>
      <c r="AH102" t="s">
        <v>633</v>
      </c>
      <c r="AI102" t="s">
        <v>1127</v>
      </c>
      <c r="AJ102" t="s">
        <v>154</v>
      </c>
      <c r="AK102" t="s">
        <v>28</v>
      </c>
      <c r="AL102" t="s">
        <v>1128</v>
      </c>
      <c r="AM102" t="s">
        <v>3</v>
      </c>
      <c r="AN102" t="s">
        <v>486</v>
      </c>
      <c r="AO102" t="s">
        <v>108</v>
      </c>
      <c r="AP102" t="s">
        <v>45</v>
      </c>
    </row>
    <row r="103" spans="1:42" x14ac:dyDescent="0.3">
      <c r="A103" t="s">
        <v>22</v>
      </c>
      <c r="B103" t="s">
        <v>103</v>
      </c>
      <c r="C103" t="s">
        <v>24</v>
      </c>
      <c r="D103" t="s">
        <v>267</v>
      </c>
      <c r="E103" t="s">
        <v>163</v>
      </c>
      <c r="F103" t="s">
        <v>3</v>
      </c>
      <c r="G103" t="s">
        <v>964</v>
      </c>
      <c r="H103" t="s">
        <v>816</v>
      </c>
      <c r="I103" t="s">
        <v>181</v>
      </c>
      <c r="J103" t="s">
        <v>113</v>
      </c>
      <c r="K103" t="s">
        <v>42</v>
      </c>
      <c r="L103" t="s">
        <v>9</v>
      </c>
      <c r="M103" t="s">
        <v>136</v>
      </c>
      <c r="N103" t="s">
        <v>151</v>
      </c>
      <c r="O103" t="s">
        <v>9</v>
      </c>
      <c r="P103" t="s">
        <v>267</v>
      </c>
      <c r="Q103" t="s">
        <v>145</v>
      </c>
      <c r="R103" t="s">
        <v>423</v>
      </c>
      <c r="S103" t="s">
        <v>15</v>
      </c>
      <c r="T103" t="s">
        <v>348</v>
      </c>
      <c r="U103" t="s">
        <v>713</v>
      </c>
      <c r="V103" t="s">
        <v>778</v>
      </c>
      <c r="W103" t="s">
        <v>28</v>
      </c>
      <c r="X103" t="s">
        <v>1129</v>
      </c>
      <c r="Y103" t="s">
        <v>1130</v>
      </c>
      <c r="Z103" t="s">
        <v>9</v>
      </c>
      <c r="AA103" t="s">
        <v>14</v>
      </c>
      <c r="AB103" t="s">
        <v>9</v>
      </c>
      <c r="AC103" t="s">
        <v>1131</v>
      </c>
      <c r="AD103" t="s">
        <v>471</v>
      </c>
      <c r="AE103" t="s">
        <v>1132</v>
      </c>
      <c r="AF103" t="s">
        <v>1133</v>
      </c>
      <c r="AG103" t="s">
        <v>1134</v>
      </c>
      <c r="AH103" t="s">
        <v>1135</v>
      </c>
      <c r="AI103" t="s">
        <v>1136</v>
      </c>
      <c r="AJ103" t="s">
        <v>127</v>
      </c>
      <c r="AK103" t="s">
        <v>14</v>
      </c>
      <c r="AL103" t="s">
        <v>448</v>
      </c>
      <c r="AM103" t="s">
        <v>3</v>
      </c>
      <c r="AN103" t="s">
        <v>124</v>
      </c>
      <c r="AO103" t="s">
        <v>302</v>
      </c>
      <c r="AP103" t="s">
        <v>45</v>
      </c>
    </row>
    <row r="104" spans="1:42" x14ac:dyDescent="0.3">
      <c r="A104" t="s">
        <v>5</v>
      </c>
      <c r="B104" t="s">
        <v>108</v>
      </c>
      <c r="C104" t="s">
        <v>146</v>
      </c>
      <c r="D104" t="s">
        <v>136</v>
      </c>
      <c r="E104" t="s">
        <v>127</v>
      </c>
      <c r="F104" t="s">
        <v>27</v>
      </c>
      <c r="G104" t="s">
        <v>1137</v>
      </c>
      <c r="H104" t="s">
        <v>862</v>
      </c>
      <c r="I104" t="s">
        <v>151</v>
      </c>
      <c r="J104" t="s">
        <v>42</v>
      </c>
      <c r="K104" t="s">
        <v>9</v>
      </c>
      <c r="L104" t="s">
        <v>9</v>
      </c>
      <c r="M104" t="s">
        <v>127</v>
      </c>
      <c r="N104" t="s">
        <v>146</v>
      </c>
      <c r="O104" t="s">
        <v>42</v>
      </c>
      <c r="P104" t="s">
        <v>180</v>
      </c>
      <c r="Q104" t="s">
        <v>185</v>
      </c>
      <c r="R104" t="s">
        <v>268</v>
      </c>
      <c r="S104" t="s">
        <v>15</v>
      </c>
      <c r="T104" t="s">
        <v>410</v>
      </c>
      <c r="U104" t="s">
        <v>388</v>
      </c>
      <c r="V104" t="s">
        <v>948</v>
      </c>
      <c r="W104" t="s">
        <v>125</v>
      </c>
      <c r="X104" t="s">
        <v>1024</v>
      </c>
      <c r="Y104" t="s">
        <v>1138</v>
      </c>
      <c r="Z104" t="s">
        <v>24</v>
      </c>
      <c r="AA104" t="s">
        <v>27</v>
      </c>
      <c r="AB104" t="s">
        <v>14</v>
      </c>
      <c r="AC104" t="s">
        <v>1139</v>
      </c>
      <c r="AD104" t="s">
        <v>1140</v>
      </c>
      <c r="AE104" t="s">
        <v>1141</v>
      </c>
      <c r="AF104" t="s">
        <v>1142</v>
      </c>
      <c r="AG104" t="s">
        <v>704</v>
      </c>
      <c r="AH104" t="s">
        <v>1143</v>
      </c>
      <c r="AI104" t="s">
        <v>1144</v>
      </c>
      <c r="AJ104" t="s">
        <v>136</v>
      </c>
      <c r="AK104" t="s">
        <v>14</v>
      </c>
      <c r="AL104" t="s">
        <v>1145</v>
      </c>
      <c r="AM104" t="s">
        <v>3</v>
      </c>
      <c r="AN104" t="s">
        <v>202</v>
      </c>
      <c r="AO104" t="s">
        <v>114</v>
      </c>
      <c r="AP104" t="s">
        <v>45</v>
      </c>
    </row>
    <row r="105" spans="1:42" x14ac:dyDescent="0.3">
      <c r="A105" t="s">
        <v>21</v>
      </c>
      <c r="B105" t="s">
        <v>145</v>
      </c>
      <c r="C105" t="s">
        <v>42</v>
      </c>
      <c r="D105" t="s">
        <v>515</v>
      </c>
      <c r="E105" t="s">
        <v>227</v>
      </c>
      <c r="F105" t="s">
        <v>14</v>
      </c>
      <c r="G105" t="s">
        <v>1146</v>
      </c>
      <c r="H105" t="s">
        <v>599</v>
      </c>
      <c r="I105" t="s">
        <v>109</v>
      </c>
      <c r="J105" t="s">
        <v>24</v>
      </c>
      <c r="K105" t="s">
        <v>27</v>
      </c>
      <c r="L105" t="s">
        <v>3</v>
      </c>
      <c r="M105" t="s">
        <v>202</v>
      </c>
      <c r="N105" t="s">
        <v>131</v>
      </c>
      <c r="O105" t="s">
        <v>24</v>
      </c>
      <c r="P105" t="s">
        <v>410</v>
      </c>
      <c r="Q105" t="s">
        <v>131</v>
      </c>
      <c r="R105" t="s">
        <v>132</v>
      </c>
      <c r="S105" t="s">
        <v>15</v>
      </c>
      <c r="T105" t="s">
        <v>326</v>
      </c>
      <c r="U105" t="s">
        <v>604</v>
      </c>
      <c r="V105" t="s">
        <v>1147</v>
      </c>
      <c r="W105" t="s">
        <v>109</v>
      </c>
      <c r="X105" t="s">
        <v>1148</v>
      </c>
      <c r="Y105" t="s">
        <v>1149</v>
      </c>
      <c r="Z105" t="s">
        <v>3</v>
      </c>
      <c r="AA105" t="s">
        <v>3</v>
      </c>
      <c r="AB105" t="s">
        <v>3</v>
      </c>
      <c r="AC105" t="s">
        <v>1150</v>
      </c>
      <c r="AD105" t="s">
        <v>942</v>
      </c>
      <c r="AE105" t="s">
        <v>1151</v>
      </c>
      <c r="AF105" t="s">
        <v>1152</v>
      </c>
      <c r="AG105" t="s">
        <v>789</v>
      </c>
      <c r="AH105" t="s">
        <v>1135</v>
      </c>
      <c r="AI105" t="s">
        <v>1153</v>
      </c>
      <c r="AJ105" t="s">
        <v>128</v>
      </c>
      <c r="AK105" t="s">
        <v>28</v>
      </c>
      <c r="AL105" t="s">
        <v>1154</v>
      </c>
      <c r="AM105" t="s">
        <v>15</v>
      </c>
      <c r="AN105" t="s">
        <v>103</v>
      </c>
      <c r="AO105" t="s">
        <v>109</v>
      </c>
      <c r="AP105" t="s">
        <v>45</v>
      </c>
    </row>
    <row r="106" spans="1:42" x14ac:dyDescent="0.3">
      <c r="A106" t="s">
        <v>10</v>
      </c>
      <c r="B106" t="s">
        <v>164</v>
      </c>
      <c r="C106" t="s">
        <v>111</v>
      </c>
      <c r="D106" t="s">
        <v>237</v>
      </c>
      <c r="E106" t="s">
        <v>408</v>
      </c>
      <c r="F106" t="s">
        <v>9</v>
      </c>
      <c r="G106" t="s">
        <v>549</v>
      </c>
      <c r="H106" t="s">
        <v>290</v>
      </c>
      <c r="I106" t="s">
        <v>164</v>
      </c>
      <c r="J106" t="s">
        <v>28</v>
      </c>
      <c r="K106" t="s">
        <v>9</v>
      </c>
      <c r="L106" t="s">
        <v>14</v>
      </c>
      <c r="M106" t="s">
        <v>148</v>
      </c>
      <c r="N106" t="s">
        <v>109</v>
      </c>
      <c r="O106" t="s">
        <v>27</v>
      </c>
      <c r="P106" t="s">
        <v>1089</v>
      </c>
      <c r="Q106" t="s">
        <v>151</v>
      </c>
      <c r="R106" t="s">
        <v>163</v>
      </c>
      <c r="S106" t="s">
        <v>3</v>
      </c>
      <c r="T106" t="s">
        <v>470</v>
      </c>
      <c r="U106" t="s">
        <v>1028</v>
      </c>
      <c r="V106" t="s">
        <v>368</v>
      </c>
      <c r="W106" t="s">
        <v>34</v>
      </c>
      <c r="X106" t="s">
        <v>1155</v>
      </c>
      <c r="Y106" t="s">
        <v>1156</v>
      </c>
      <c r="Z106" t="s">
        <v>15</v>
      </c>
      <c r="AA106" t="s">
        <v>42</v>
      </c>
      <c r="AB106" t="s">
        <v>33</v>
      </c>
      <c r="AC106" t="s">
        <v>1157</v>
      </c>
      <c r="AD106" t="s">
        <v>1089</v>
      </c>
      <c r="AE106" t="s">
        <v>791</v>
      </c>
      <c r="AF106" t="s">
        <v>1158</v>
      </c>
      <c r="AG106" t="s">
        <v>877</v>
      </c>
      <c r="AH106" t="s">
        <v>1159</v>
      </c>
      <c r="AI106" t="s">
        <v>1160</v>
      </c>
      <c r="AJ106" t="s">
        <v>114</v>
      </c>
      <c r="AK106" t="s">
        <v>109</v>
      </c>
      <c r="AL106" t="s">
        <v>997</v>
      </c>
      <c r="AM106" t="s">
        <v>9</v>
      </c>
      <c r="AN106" t="s">
        <v>166</v>
      </c>
      <c r="AO106" t="s">
        <v>133</v>
      </c>
      <c r="AP106" t="s">
        <v>45</v>
      </c>
    </row>
    <row r="107" spans="1:42" x14ac:dyDescent="0.3">
      <c r="A107" t="s">
        <v>25</v>
      </c>
      <c r="B107" t="s">
        <v>269</v>
      </c>
      <c r="C107" t="s">
        <v>146</v>
      </c>
      <c r="D107" t="s">
        <v>154</v>
      </c>
      <c r="E107" t="s">
        <v>136</v>
      </c>
      <c r="F107" t="s">
        <v>27</v>
      </c>
      <c r="G107" t="s">
        <v>1161</v>
      </c>
      <c r="H107" t="s">
        <v>624</v>
      </c>
      <c r="I107" t="s">
        <v>145</v>
      </c>
      <c r="J107" t="s">
        <v>109</v>
      </c>
      <c r="K107" t="s">
        <v>27</v>
      </c>
      <c r="L107" t="s">
        <v>15</v>
      </c>
      <c r="M107" t="s">
        <v>105</v>
      </c>
      <c r="N107" t="s">
        <v>24</v>
      </c>
      <c r="O107" t="s">
        <v>9</v>
      </c>
      <c r="P107" t="s">
        <v>568</v>
      </c>
      <c r="Q107" t="s">
        <v>146</v>
      </c>
      <c r="R107" t="s">
        <v>152</v>
      </c>
      <c r="S107" t="s">
        <v>3</v>
      </c>
      <c r="T107" t="s">
        <v>170</v>
      </c>
      <c r="U107" t="s">
        <v>1137</v>
      </c>
      <c r="V107" t="s">
        <v>106</v>
      </c>
      <c r="W107" t="s">
        <v>24</v>
      </c>
      <c r="X107" t="s">
        <v>1162</v>
      </c>
      <c r="Y107" t="s">
        <v>1163</v>
      </c>
      <c r="Z107" t="s">
        <v>3</v>
      </c>
      <c r="AA107" t="s">
        <v>28</v>
      </c>
      <c r="AB107" t="s">
        <v>27</v>
      </c>
      <c r="AC107" t="s">
        <v>1164</v>
      </c>
      <c r="AD107" t="s">
        <v>595</v>
      </c>
      <c r="AE107" t="s">
        <v>1165</v>
      </c>
      <c r="AF107" t="s">
        <v>1166</v>
      </c>
      <c r="AG107" t="s">
        <v>1167</v>
      </c>
      <c r="AH107" t="s">
        <v>396</v>
      </c>
      <c r="AI107" t="s">
        <v>1168</v>
      </c>
      <c r="AJ107" t="s">
        <v>124</v>
      </c>
      <c r="AK107" t="s">
        <v>146</v>
      </c>
      <c r="AL107" t="s">
        <v>1169</v>
      </c>
      <c r="AM107" t="s">
        <v>15</v>
      </c>
      <c r="AN107" t="s">
        <v>568</v>
      </c>
      <c r="AO107" t="s">
        <v>181</v>
      </c>
      <c r="AP107" t="s">
        <v>45</v>
      </c>
    </row>
    <row r="108" spans="1:42" x14ac:dyDescent="0.3">
      <c r="A108" t="s">
        <v>7</v>
      </c>
      <c r="B108" t="s">
        <v>151</v>
      </c>
      <c r="C108" t="s">
        <v>109</v>
      </c>
      <c r="D108" t="s">
        <v>356</v>
      </c>
      <c r="E108" t="s">
        <v>105</v>
      </c>
      <c r="F108" t="s">
        <v>9</v>
      </c>
      <c r="G108" t="s">
        <v>183</v>
      </c>
      <c r="H108" t="s">
        <v>942</v>
      </c>
      <c r="I108" t="s">
        <v>109</v>
      </c>
      <c r="J108" t="s">
        <v>42</v>
      </c>
      <c r="K108" t="s">
        <v>24</v>
      </c>
      <c r="L108" t="s">
        <v>3</v>
      </c>
      <c r="M108" t="s">
        <v>214</v>
      </c>
      <c r="N108" t="s">
        <v>34</v>
      </c>
      <c r="O108" t="s">
        <v>3</v>
      </c>
      <c r="P108" t="s">
        <v>459</v>
      </c>
      <c r="Q108" t="s">
        <v>109</v>
      </c>
      <c r="R108" t="s">
        <v>421</v>
      </c>
      <c r="S108" t="s">
        <v>9</v>
      </c>
      <c r="T108" t="s">
        <v>559</v>
      </c>
      <c r="U108" t="s">
        <v>1170</v>
      </c>
      <c r="V108" t="s">
        <v>768</v>
      </c>
      <c r="W108" t="s">
        <v>28</v>
      </c>
      <c r="X108" t="s">
        <v>1171</v>
      </c>
      <c r="Y108" t="s">
        <v>516</v>
      </c>
      <c r="Z108" t="s">
        <v>14</v>
      </c>
      <c r="AA108" t="s">
        <v>27</v>
      </c>
      <c r="AB108" t="s">
        <v>3</v>
      </c>
      <c r="AC108" t="s">
        <v>1172</v>
      </c>
      <c r="AD108" t="s">
        <v>408</v>
      </c>
      <c r="AE108" t="s">
        <v>1173</v>
      </c>
      <c r="AF108" t="s">
        <v>1174</v>
      </c>
      <c r="AG108" t="s">
        <v>430</v>
      </c>
      <c r="AH108" t="s">
        <v>908</v>
      </c>
      <c r="AI108" t="s">
        <v>1175</v>
      </c>
      <c r="AJ108" t="s">
        <v>227</v>
      </c>
      <c r="AK108" t="s">
        <v>9</v>
      </c>
      <c r="AL108" t="s">
        <v>1176</v>
      </c>
      <c r="AM108" t="s">
        <v>9</v>
      </c>
      <c r="AN108" t="s">
        <v>147</v>
      </c>
      <c r="AO108" t="s">
        <v>125</v>
      </c>
      <c r="AP108" t="s">
        <v>45</v>
      </c>
    </row>
    <row r="109" spans="1:42" x14ac:dyDescent="0.3">
      <c r="A109" t="s">
        <v>23</v>
      </c>
      <c r="B109" t="s">
        <v>131</v>
      </c>
      <c r="C109" t="s">
        <v>131</v>
      </c>
      <c r="D109" t="s">
        <v>182</v>
      </c>
      <c r="E109" t="s">
        <v>187</v>
      </c>
      <c r="F109" t="s">
        <v>15</v>
      </c>
      <c r="G109" t="s">
        <v>1177</v>
      </c>
      <c r="H109" t="s">
        <v>320</v>
      </c>
      <c r="I109" t="s">
        <v>126</v>
      </c>
      <c r="J109" t="s">
        <v>33</v>
      </c>
      <c r="K109" t="s">
        <v>14</v>
      </c>
      <c r="L109" t="s">
        <v>9</v>
      </c>
      <c r="M109" t="s">
        <v>214</v>
      </c>
      <c r="N109" t="s">
        <v>28</v>
      </c>
      <c r="O109" t="s">
        <v>14</v>
      </c>
      <c r="P109" t="s">
        <v>279</v>
      </c>
      <c r="Q109" t="s">
        <v>111</v>
      </c>
      <c r="R109" t="s">
        <v>163</v>
      </c>
      <c r="S109" t="s">
        <v>15</v>
      </c>
      <c r="T109" t="s">
        <v>253</v>
      </c>
      <c r="U109" t="s">
        <v>1178</v>
      </c>
      <c r="V109" t="s">
        <v>1179</v>
      </c>
      <c r="W109" t="s">
        <v>14</v>
      </c>
      <c r="X109" t="s">
        <v>696</v>
      </c>
      <c r="Y109" t="s">
        <v>1180</v>
      </c>
      <c r="Z109" t="s">
        <v>9</v>
      </c>
      <c r="AA109" t="s">
        <v>14</v>
      </c>
      <c r="AB109" t="s">
        <v>14</v>
      </c>
      <c r="AC109" t="s">
        <v>1181</v>
      </c>
      <c r="AD109" t="s">
        <v>127</v>
      </c>
      <c r="AE109" t="s">
        <v>1182</v>
      </c>
      <c r="AF109" t="s">
        <v>1183</v>
      </c>
      <c r="AG109" t="s">
        <v>1184</v>
      </c>
      <c r="AH109" t="s">
        <v>276</v>
      </c>
      <c r="AI109" t="s">
        <v>1185</v>
      </c>
      <c r="AJ109" t="s">
        <v>200</v>
      </c>
      <c r="AK109" t="s">
        <v>27</v>
      </c>
      <c r="AL109" t="s">
        <v>580</v>
      </c>
      <c r="AM109" t="s">
        <v>15</v>
      </c>
      <c r="AN109" t="s">
        <v>699</v>
      </c>
      <c r="AO109" t="s">
        <v>302</v>
      </c>
      <c r="AP109" t="s">
        <v>45</v>
      </c>
    </row>
    <row r="110" spans="1:42" x14ac:dyDescent="0.3">
      <c r="A110" t="s">
        <v>2</v>
      </c>
      <c r="B110" t="s">
        <v>131</v>
      </c>
      <c r="C110" t="s">
        <v>131</v>
      </c>
      <c r="D110" t="s">
        <v>197</v>
      </c>
      <c r="E110" t="s">
        <v>169</v>
      </c>
      <c r="F110" t="s">
        <v>24</v>
      </c>
      <c r="G110" t="s">
        <v>679</v>
      </c>
      <c r="H110" t="s">
        <v>489</v>
      </c>
      <c r="I110" t="s">
        <v>423</v>
      </c>
      <c r="J110" t="s">
        <v>34</v>
      </c>
      <c r="K110" t="s">
        <v>3</v>
      </c>
      <c r="L110" t="s">
        <v>9</v>
      </c>
      <c r="M110" t="s">
        <v>421</v>
      </c>
      <c r="N110" t="s">
        <v>33</v>
      </c>
      <c r="O110" t="s">
        <v>14</v>
      </c>
      <c r="P110" t="s">
        <v>188</v>
      </c>
      <c r="Q110" t="s">
        <v>109</v>
      </c>
      <c r="R110" t="s">
        <v>421</v>
      </c>
      <c r="S110" t="s">
        <v>15</v>
      </c>
      <c r="T110" t="s">
        <v>1186</v>
      </c>
      <c r="U110" t="s">
        <v>399</v>
      </c>
      <c r="V110" t="s">
        <v>1187</v>
      </c>
      <c r="W110" t="s">
        <v>24</v>
      </c>
      <c r="X110" t="s">
        <v>708</v>
      </c>
      <c r="Y110" t="s">
        <v>1188</v>
      </c>
      <c r="Z110" t="s">
        <v>14</v>
      </c>
      <c r="AA110" t="s">
        <v>24</v>
      </c>
      <c r="AB110" t="s">
        <v>27</v>
      </c>
      <c r="AC110" t="s">
        <v>1189</v>
      </c>
      <c r="AD110" t="s">
        <v>447</v>
      </c>
      <c r="AE110" t="s">
        <v>1190</v>
      </c>
      <c r="AF110" t="s">
        <v>1191</v>
      </c>
      <c r="AG110" t="s">
        <v>1192</v>
      </c>
      <c r="AH110" t="s">
        <v>1193</v>
      </c>
      <c r="AI110" t="s">
        <v>1194</v>
      </c>
      <c r="AJ110" t="s">
        <v>515</v>
      </c>
      <c r="AK110" t="s">
        <v>9</v>
      </c>
      <c r="AL110" t="s">
        <v>1195</v>
      </c>
      <c r="AM110" t="s">
        <v>3</v>
      </c>
      <c r="AN110" t="s">
        <v>135</v>
      </c>
      <c r="AO110" t="s">
        <v>164</v>
      </c>
      <c r="AP110" t="s">
        <v>45</v>
      </c>
    </row>
    <row r="111" spans="1:42" x14ac:dyDescent="0.3">
      <c r="A111" t="s">
        <v>35</v>
      </c>
      <c r="B111" t="s">
        <v>185</v>
      </c>
      <c r="C111" t="s">
        <v>181</v>
      </c>
      <c r="D111" t="s">
        <v>249</v>
      </c>
      <c r="E111" t="s">
        <v>182</v>
      </c>
      <c r="F111" t="s">
        <v>3</v>
      </c>
      <c r="G111" t="s">
        <v>689</v>
      </c>
      <c r="H111" t="s">
        <v>700</v>
      </c>
      <c r="I111" t="s">
        <v>185</v>
      </c>
      <c r="J111" t="s">
        <v>42</v>
      </c>
      <c r="K111" t="s">
        <v>3</v>
      </c>
      <c r="L111" t="s">
        <v>9</v>
      </c>
      <c r="M111" t="s">
        <v>171</v>
      </c>
      <c r="N111" t="s">
        <v>146</v>
      </c>
      <c r="O111" t="s">
        <v>14</v>
      </c>
      <c r="P111" t="s">
        <v>188</v>
      </c>
      <c r="Q111" t="s">
        <v>146</v>
      </c>
      <c r="R111" t="s">
        <v>202</v>
      </c>
      <c r="S111" t="s">
        <v>27</v>
      </c>
      <c r="T111" t="s">
        <v>700</v>
      </c>
      <c r="U111" t="s">
        <v>1196</v>
      </c>
      <c r="V111" t="s">
        <v>456</v>
      </c>
      <c r="W111" t="s">
        <v>28</v>
      </c>
      <c r="X111" t="s">
        <v>519</v>
      </c>
      <c r="Y111" t="s">
        <v>448</v>
      </c>
      <c r="Z111" t="s">
        <v>9</v>
      </c>
      <c r="AA111" t="s">
        <v>42</v>
      </c>
      <c r="AB111" t="s">
        <v>33</v>
      </c>
      <c r="AC111" t="s">
        <v>1197</v>
      </c>
      <c r="AD111" t="s">
        <v>699</v>
      </c>
      <c r="AE111" t="s">
        <v>1198</v>
      </c>
      <c r="AF111" t="s">
        <v>1199</v>
      </c>
      <c r="AG111" t="s">
        <v>260</v>
      </c>
      <c r="AH111" t="s">
        <v>373</v>
      </c>
      <c r="AI111" t="s">
        <v>1200</v>
      </c>
      <c r="AJ111" t="s">
        <v>291</v>
      </c>
      <c r="AK111" t="s">
        <v>33</v>
      </c>
      <c r="AL111" t="s">
        <v>212</v>
      </c>
      <c r="AM111" t="s">
        <v>9</v>
      </c>
      <c r="AN111" t="s">
        <v>105</v>
      </c>
      <c r="AO111" t="s">
        <v>164</v>
      </c>
      <c r="AP111" t="s">
        <v>45</v>
      </c>
    </row>
    <row r="112" spans="1:42" x14ac:dyDescent="0.3">
      <c r="A112" t="s">
        <v>47</v>
      </c>
      <c r="B112" t="s">
        <v>109</v>
      </c>
      <c r="C112" t="s">
        <v>151</v>
      </c>
      <c r="D112" t="s">
        <v>202</v>
      </c>
      <c r="E112" t="s">
        <v>635</v>
      </c>
      <c r="F112" t="s">
        <v>14</v>
      </c>
      <c r="G112" t="s">
        <v>1201</v>
      </c>
      <c r="H112" t="s">
        <v>942</v>
      </c>
      <c r="I112" t="s">
        <v>33</v>
      </c>
      <c r="J112" t="s">
        <v>151</v>
      </c>
      <c r="K112" t="s">
        <v>9</v>
      </c>
      <c r="L112" t="s">
        <v>3</v>
      </c>
      <c r="M112" t="s">
        <v>197</v>
      </c>
      <c r="N112" t="s">
        <v>24</v>
      </c>
      <c r="O112" t="s">
        <v>27</v>
      </c>
      <c r="P112" t="s">
        <v>136</v>
      </c>
      <c r="Q112" t="s">
        <v>14</v>
      </c>
      <c r="R112" t="s">
        <v>515</v>
      </c>
      <c r="S112" t="s">
        <v>15</v>
      </c>
      <c r="T112" t="s">
        <v>952</v>
      </c>
      <c r="U112" t="s">
        <v>1202</v>
      </c>
      <c r="V112" t="s">
        <v>646</v>
      </c>
      <c r="W112" t="s">
        <v>28</v>
      </c>
      <c r="X112" t="s">
        <v>1203</v>
      </c>
      <c r="Y112" t="s">
        <v>555</v>
      </c>
      <c r="Z112" t="s">
        <v>3</v>
      </c>
      <c r="AA112" t="s">
        <v>33</v>
      </c>
      <c r="AB112" t="s">
        <v>24</v>
      </c>
      <c r="AC112" t="s">
        <v>1204</v>
      </c>
      <c r="AD112" t="s">
        <v>163</v>
      </c>
      <c r="AE112" t="s">
        <v>1205</v>
      </c>
      <c r="AF112" t="s">
        <v>497</v>
      </c>
      <c r="AG112" t="s">
        <v>1047</v>
      </c>
      <c r="AH112" t="s">
        <v>776</v>
      </c>
      <c r="AI112" t="s">
        <v>1206</v>
      </c>
      <c r="AJ112" t="s">
        <v>264</v>
      </c>
      <c r="AK112" t="s">
        <v>42</v>
      </c>
      <c r="AL112" t="s">
        <v>1207</v>
      </c>
      <c r="AM112" t="s">
        <v>9</v>
      </c>
      <c r="AN112" t="s">
        <v>237</v>
      </c>
      <c r="AO112" t="s">
        <v>145</v>
      </c>
      <c r="AP112" t="s">
        <v>45</v>
      </c>
    </row>
    <row r="113" spans="1:42" x14ac:dyDescent="0.3">
      <c r="A113" t="s">
        <v>48</v>
      </c>
      <c r="B113" t="s">
        <v>109</v>
      </c>
      <c r="C113" t="s">
        <v>151</v>
      </c>
      <c r="D113" t="s">
        <v>148</v>
      </c>
      <c r="E113" t="s">
        <v>421</v>
      </c>
      <c r="F113" t="s">
        <v>9</v>
      </c>
      <c r="G113" t="s">
        <v>647</v>
      </c>
      <c r="H113" t="s">
        <v>559</v>
      </c>
      <c r="I113" t="s">
        <v>131</v>
      </c>
      <c r="J113" t="s">
        <v>33</v>
      </c>
      <c r="K113" t="s">
        <v>24</v>
      </c>
      <c r="L113" t="s">
        <v>3</v>
      </c>
      <c r="M113" t="s">
        <v>240</v>
      </c>
      <c r="N113" t="s">
        <v>34</v>
      </c>
      <c r="O113" t="s">
        <v>3</v>
      </c>
      <c r="P113" t="s">
        <v>408</v>
      </c>
      <c r="Q113" t="s">
        <v>131</v>
      </c>
      <c r="R113" t="s">
        <v>163</v>
      </c>
      <c r="S113" t="s">
        <v>15</v>
      </c>
      <c r="T113" t="s">
        <v>649</v>
      </c>
      <c r="U113" t="s">
        <v>611</v>
      </c>
      <c r="V113" t="s">
        <v>878</v>
      </c>
      <c r="W113" t="s">
        <v>14</v>
      </c>
      <c r="X113" t="s">
        <v>1208</v>
      </c>
      <c r="Y113" t="s">
        <v>1209</v>
      </c>
      <c r="Z113" t="s">
        <v>9</v>
      </c>
      <c r="AA113" t="s">
        <v>14</v>
      </c>
      <c r="AB113" t="s">
        <v>3</v>
      </c>
      <c r="AC113" t="s">
        <v>1210</v>
      </c>
      <c r="AD113" t="s">
        <v>447</v>
      </c>
      <c r="AE113" t="s">
        <v>620</v>
      </c>
      <c r="AF113" t="s">
        <v>1211</v>
      </c>
      <c r="AG113" t="s">
        <v>1212</v>
      </c>
      <c r="AH113" t="s">
        <v>668</v>
      </c>
      <c r="AI113" t="s">
        <v>1213</v>
      </c>
      <c r="AJ113" t="s">
        <v>240</v>
      </c>
      <c r="AK113" t="s">
        <v>14</v>
      </c>
      <c r="AL113" t="s">
        <v>622</v>
      </c>
      <c r="AM113" t="s">
        <v>9</v>
      </c>
      <c r="AN113" t="s">
        <v>699</v>
      </c>
      <c r="AO113" t="s">
        <v>135</v>
      </c>
      <c r="AP113" t="s">
        <v>45</v>
      </c>
    </row>
    <row r="114" spans="1:42" x14ac:dyDescent="0.3">
      <c r="A114" t="s">
        <v>37</v>
      </c>
      <c r="B114" t="s">
        <v>111</v>
      </c>
      <c r="C114" t="s">
        <v>151</v>
      </c>
      <c r="D114" t="s">
        <v>240</v>
      </c>
      <c r="E114" t="s">
        <v>105</v>
      </c>
      <c r="F114" t="s">
        <v>9</v>
      </c>
      <c r="G114" t="s">
        <v>588</v>
      </c>
      <c r="H114" t="s">
        <v>358</v>
      </c>
      <c r="I114" t="s">
        <v>33</v>
      </c>
      <c r="J114" t="s">
        <v>131</v>
      </c>
      <c r="K114" t="s">
        <v>27</v>
      </c>
      <c r="L114" t="s">
        <v>15</v>
      </c>
      <c r="M114" t="s">
        <v>423</v>
      </c>
      <c r="N114" t="s">
        <v>14</v>
      </c>
      <c r="O114" t="s">
        <v>3</v>
      </c>
      <c r="P114" t="s">
        <v>128</v>
      </c>
      <c r="Q114" t="s">
        <v>42</v>
      </c>
      <c r="R114" t="s">
        <v>169</v>
      </c>
      <c r="S114" t="s">
        <v>111</v>
      </c>
      <c r="T114" t="s">
        <v>952</v>
      </c>
      <c r="U114" t="s">
        <v>280</v>
      </c>
      <c r="V114" t="s">
        <v>444</v>
      </c>
      <c r="W114" t="s">
        <v>27</v>
      </c>
      <c r="X114" t="s">
        <v>1214</v>
      </c>
      <c r="Y114" t="s">
        <v>1215</v>
      </c>
      <c r="Z114" t="s">
        <v>14</v>
      </c>
      <c r="AA114" t="s">
        <v>33</v>
      </c>
      <c r="AB114" t="s">
        <v>33</v>
      </c>
      <c r="AC114" t="s">
        <v>1216</v>
      </c>
      <c r="AD114" t="s">
        <v>133</v>
      </c>
      <c r="AE114" t="s">
        <v>1217</v>
      </c>
      <c r="AF114" t="s">
        <v>1218</v>
      </c>
      <c r="AG114" t="s">
        <v>981</v>
      </c>
      <c r="AH114" t="s">
        <v>1219</v>
      </c>
      <c r="AI114" t="s">
        <v>1220</v>
      </c>
      <c r="AJ114" t="s">
        <v>423</v>
      </c>
      <c r="AK114" t="s">
        <v>27</v>
      </c>
      <c r="AL114" t="s">
        <v>1221</v>
      </c>
      <c r="AM114" t="s">
        <v>15</v>
      </c>
      <c r="AN114" t="s">
        <v>322</v>
      </c>
      <c r="AO114" t="s">
        <v>133</v>
      </c>
      <c r="AP114" t="s">
        <v>45</v>
      </c>
    </row>
    <row r="115" spans="1:42" x14ac:dyDescent="0.3">
      <c r="A115" t="s">
        <v>29</v>
      </c>
      <c r="B115" t="s">
        <v>111</v>
      </c>
      <c r="C115" t="s">
        <v>151</v>
      </c>
      <c r="D115" t="s">
        <v>249</v>
      </c>
      <c r="E115" t="s">
        <v>105</v>
      </c>
      <c r="F115" t="s">
        <v>27</v>
      </c>
      <c r="G115" t="s">
        <v>1222</v>
      </c>
      <c r="H115" t="s">
        <v>253</v>
      </c>
      <c r="I115" t="s">
        <v>111</v>
      </c>
      <c r="J115" t="s">
        <v>34</v>
      </c>
      <c r="K115" t="s">
        <v>3</v>
      </c>
      <c r="L115" t="s">
        <v>24</v>
      </c>
      <c r="M115" t="s">
        <v>252</v>
      </c>
      <c r="N115" t="s">
        <v>185</v>
      </c>
      <c r="O115" t="s">
        <v>14</v>
      </c>
      <c r="P115" t="s">
        <v>558</v>
      </c>
      <c r="Q115" t="s">
        <v>109</v>
      </c>
      <c r="R115" t="s">
        <v>152</v>
      </c>
      <c r="S115" t="s">
        <v>15</v>
      </c>
      <c r="T115" t="s">
        <v>757</v>
      </c>
      <c r="U115" t="s">
        <v>1012</v>
      </c>
      <c r="V115" t="s">
        <v>742</v>
      </c>
      <c r="W115" t="s">
        <v>33</v>
      </c>
      <c r="X115" t="s">
        <v>1223</v>
      </c>
      <c r="Y115" t="s">
        <v>868</v>
      </c>
      <c r="Z115" t="s">
        <v>9</v>
      </c>
      <c r="AA115" t="s">
        <v>24</v>
      </c>
      <c r="AB115" t="s">
        <v>14</v>
      </c>
      <c r="AC115" t="s">
        <v>1224</v>
      </c>
      <c r="AD115" t="s">
        <v>249</v>
      </c>
      <c r="AE115" t="s">
        <v>1225</v>
      </c>
      <c r="AF115" t="s">
        <v>1226</v>
      </c>
      <c r="AG115" t="s">
        <v>230</v>
      </c>
      <c r="AH115" t="s">
        <v>195</v>
      </c>
      <c r="AI115" t="s">
        <v>1227</v>
      </c>
      <c r="AJ115" t="s">
        <v>486</v>
      </c>
      <c r="AK115" t="s">
        <v>34</v>
      </c>
      <c r="AL115" t="s">
        <v>469</v>
      </c>
      <c r="AM115" t="s">
        <v>3</v>
      </c>
      <c r="AN115" t="s">
        <v>154</v>
      </c>
      <c r="AO115" t="s">
        <v>302</v>
      </c>
      <c r="AP115" t="s">
        <v>45</v>
      </c>
    </row>
    <row r="116" spans="1:42" x14ac:dyDescent="0.3">
      <c r="A116" t="s">
        <v>11</v>
      </c>
      <c r="B116" t="s">
        <v>111</v>
      </c>
      <c r="C116" t="s">
        <v>181</v>
      </c>
      <c r="D116" t="s">
        <v>214</v>
      </c>
      <c r="E116" t="s">
        <v>408</v>
      </c>
      <c r="F116" t="s">
        <v>14</v>
      </c>
      <c r="G116" t="s">
        <v>1228</v>
      </c>
      <c r="H116" t="s">
        <v>901</v>
      </c>
      <c r="I116" t="s">
        <v>185</v>
      </c>
      <c r="J116" t="s">
        <v>28</v>
      </c>
      <c r="K116" t="s">
        <v>24</v>
      </c>
      <c r="L116" t="s">
        <v>3</v>
      </c>
      <c r="M116" t="s">
        <v>303</v>
      </c>
      <c r="N116" t="s">
        <v>185</v>
      </c>
      <c r="O116" t="s">
        <v>9</v>
      </c>
      <c r="P116" t="s">
        <v>433</v>
      </c>
      <c r="Q116" t="s">
        <v>34</v>
      </c>
      <c r="R116" t="s">
        <v>128</v>
      </c>
      <c r="S116" t="s">
        <v>15</v>
      </c>
      <c r="T116" t="s">
        <v>550</v>
      </c>
      <c r="U116" t="s">
        <v>678</v>
      </c>
      <c r="V116" t="s">
        <v>832</v>
      </c>
      <c r="W116" t="s">
        <v>33</v>
      </c>
      <c r="X116" t="s">
        <v>1229</v>
      </c>
      <c r="Y116" t="s">
        <v>1230</v>
      </c>
      <c r="Z116" t="s">
        <v>3</v>
      </c>
      <c r="AA116" t="s">
        <v>34</v>
      </c>
      <c r="AB116" t="s">
        <v>27</v>
      </c>
      <c r="AC116" t="s">
        <v>1231</v>
      </c>
      <c r="AD116" t="s">
        <v>325</v>
      </c>
      <c r="AE116" t="s">
        <v>394</v>
      </c>
      <c r="AF116" t="s">
        <v>1232</v>
      </c>
      <c r="AG116" t="s">
        <v>368</v>
      </c>
      <c r="AH116" t="s">
        <v>373</v>
      </c>
      <c r="AI116" t="s">
        <v>1233</v>
      </c>
      <c r="AJ116" t="s">
        <v>132</v>
      </c>
      <c r="AK116" t="s">
        <v>14</v>
      </c>
      <c r="AL116" t="s">
        <v>569</v>
      </c>
      <c r="AM116" t="s">
        <v>27</v>
      </c>
      <c r="AN116" t="s">
        <v>214</v>
      </c>
      <c r="AO116" t="s">
        <v>133</v>
      </c>
      <c r="AP116" t="s">
        <v>45</v>
      </c>
    </row>
    <row r="117" spans="1:42" x14ac:dyDescent="0.3">
      <c r="A117" t="s">
        <v>20</v>
      </c>
      <c r="B117" t="s">
        <v>146</v>
      </c>
      <c r="C117" t="s">
        <v>135</v>
      </c>
      <c r="D117" t="s">
        <v>152</v>
      </c>
      <c r="E117" t="s">
        <v>356</v>
      </c>
      <c r="F117" t="s">
        <v>24</v>
      </c>
      <c r="G117" t="s">
        <v>1234</v>
      </c>
      <c r="H117" t="s">
        <v>723</v>
      </c>
      <c r="I117" t="s">
        <v>34</v>
      </c>
      <c r="J117" t="s">
        <v>33</v>
      </c>
      <c r="K117" t="s">
        <v>24</v>
      </c>
      <c r="L117" t="s">
        <v>15</v>
      </c>
      <c r="M117" t="s">
        <v>421</v>
      </c>
      <c r="N117" t="s">
        <v>28</v>
      </c>
      <c r="O117" t="s">
        <v>15</v>
      </c>
      <c r="P117" t="s">
        <v>325</v>
      </c>
      <c r="Q117" t="s">
        <v>14</v>
      </c>
      <c r="R117" t="s">
        <v>224</v>
      </c>
      <c r="S117" t="s">
        <v>15</v>
      </c>
      <c r="T117" t="s">
        <v>422</v>
      </c>
      <c r="U117" t="s">
        <v>1043</v>
      </c>
      <c r="V117" t="s">
        <v>1235</v>
      </c>
      <c r="W117" t="s">
        <v>42</v>
      </c>
      <c r="X117" t="s">
        <v>1236</v>
      </c>
      <c r="Y117" t="s">
        <v>1237</v>
      </c>
      <c r="Z117" t="s">
        <v>3</v>
      </c>
      <c r="AA117" t="s">
        <v>14</v>
      </c>
      <c r="AB117" t="s">
        <v>9</v>
      </c>
      <c r="AC117" t="s">
        <v>1238</v>
      </c>
      <c r="AD117" t="s">
        <v>203</v>
      </c>
      <c r="AE117" t="s">
        <v>1239</v>
      </c>
      <c r="AF117" t="s">
        <v>1240</v>
      </c>
      <c r="AG117" t="s">
        <v>275</v>
      </c>
      <c r="AH117" t="s">
        <v>676</v>
      </c>
      <c r="AI117" t="s">
        <v>1241</v>
      </c>
      <c r="AJ117" t="s">
        <v>125</v>
      </c>
      <c r="AK117" t="s">
        <v>34</v>
      </c>
      <c r="AL117" t="s">
        <v>1242</v>
      </c>
      <c r="AM117" t="s">
        <v>3</v>
      </c>
      <c r="AN117" t="s">
        <v>635</v>
      </c>
      <c r="AO117" t="s">
        <v>113</v>
      </c>
      <c r="AP117" t="s">
        <v>45</v>
      </c>
    </row>
    <row r="118" spans="1:42" x14ac:dyDescent="0.3">
      <c r="A118" t="s">
        <v>46</v>
      </c>
      <c r="B118" t="s">
        <v>146</v>
      </c>
      <c r="C118" t="s">
        <v>108</v>
      </c>
      <c r="D118" t="s">
        <v>227</v>
      </c>
      <c r="E118" t="s">
        <v>187</v>
      </c>
      <c r="F118" t="s">
        <v>42</v>
      </c>
      <c r="G118" t="s">
        <v>1154</v>
      </c>
      <c r="H118" t="s">
        <v>959</v>
      </c>
      <c r="I118" t="s">
        <v>151</v>
      </c>
      <c r="J118" t="s">
        <v>146</v>
      </c>
      <c r="K118" t="s">
        <v>9</v>
      </c>
      <c r="L118" t="s">
        <v>14</v>
      </c>
      <c r="M118" t="s">
        <v>240</v>
      </c>
      <c r="N118" t="s">
        <v>33</v>
      </c>
      <c r="O118" t="s">
        <v>15</v>
      </c>
      <c r="P118" t="s">
        <v>104</v>
      </c>
      <c r="Q118" t="s">
        <v>33</v>
      </c>
      <c r="R118" t="s">
        <v>515</v>
      </c>
      <c r="S118" t="s">
        <v>15</v>
      </c>
      <c r="T118" t="s">
        <v>276</v>
      </c>
      <c r="U118" t="s">
        <v>1066</v>
      </c>
      <c r="V118" t="s">
        <v>1243</v>
      </c>
      <c r="W118" t="s">
        <v>3</v>
      </c>
      <c r="X118" t="s">
        <v>191</v>
      </c>
      <c r="Y118" t="s">
        <v>332</v>
      </c>
      <c r="Z118" t="s">
        <v>9</v>
      </c>
      <c r="AA118" t="s">
        <v>14</v>
      </c>
      <c r="AB118" t="s">
        <v>14</v>
      </c>
      <c r="AC118" t="s">
        <v>1244</v>
      </c>
      <c r="AD118" t="s">
        <v>214</v>
      </c>
      <c r="AE118" t="s">
        <v>1245</v>
      </c>
      <c r="AF118" t="s">
        <v>1246</v>
      </c>
      <c r="AG118" t="s">
        <v>194</v>
      </c>
      <c r="AH118" t="s">
        <v>320</v>
      </c>
      <c r="AI118" t="s">
        <v>1247</v>
      </c>
      <c r="AJ118" t="s">
        <v>133</v>
      </c>
      <c r="AK118" t="s">
        <v>34</v>
      </c>
      <c r="AL118" t="s">
        <v>1248</v>
      </c>
      <c r="AM118" t="s">
        <v>15</v>
      </c>
      <c r="AN118" t="s">
        <v>302</v>
      </c>
      <c r="AO118" t="s">
        <v>135</v>
      </c>
      <c r="AP118" t="s">
        <v>45</v>
      </c>
    </row>
    <row r="119" spans="1:42" x14ac:dyDescent="0.3">
      <c r="A119" t="s">
        <v>13</v>
      </c>
      <c r="B119" t="s">
        <v>34</v>
      </c>
      <c r="C119" t="s">
        <v>133</v>
      </c>
      <c r="D119" t="s">
        <v>182</v>
      </c>
      <c r="E119" t="s">
        <v>515</v>
      </c>
      <c r="F119" t="s">
        <v>24</v>
      </c>
      <c r="G119" t="s">
        <v>1055</v>
      </c>
      <c r="H119" t="s">
        <v>470</v>
      </c>
      <c r="I119" t="s">
        <v>146</v>
      </c>
      <c r="J119" t="s">
        <v>185</v>
      </c>
      <c r="K119" t="s">
        <v>27</v>
      </c>
      <c r="L119" t="s">
        <v>9</v>
      </c>
      <c r="M119" t="s">
        <v>132</v>
      </c>
      <c r="N119" t="s">
        <v>33</v>
      </c>
      <c r="O119" t="s">
        <v>9</v>
      </c>
      <c r="P119" t="s">
        <v>635</v>
      </c>
      <c r="Q119" t="s">
        <v>14</v>
      </c>
      <c r="R119" t="s">
        <v>278</v>
      </c>
      <c r="S119" t="s">
        <v>15</v>
      </c>
      <c r="T119" t="s">
        <v>186</v>
      </c>
      <c r="U119" t="s">
        <v>604</v>
      </c>
      <c r="V119" t="s">
        <v>675</v>
      </c>
      <c r="W119" t="s">
        <v>28</v>
      </c>
      <c r="X119" t="s">
        <v>1249</v>
      </c>
      <c r="Y119" t="s">
        <v>540</v>
      </c>
      <c r="Z119" t="s">
        <v>27</v>
      </c>
      <c r="AA119" t="s">
        <v>14</v>
      </c>
      <c r="AB119" t="s">
        <v>9</v>
      </c>
      <c r="AC119" t="s">
        <v>1250</v>
      </c>
      <c r="AD119" t="s">
        <v>166</v>
      </c>
      <c r="AE119" t="s">
        <v>1251</v>
      </c>
      <c r="AF119" t="s">
        <v>1252</v>
      </c>
      <c r="AG119" t="s">
        <v>1253</v>
      </c>
      <c r="AH119" t="s">
        <v>1219</v>
      </c>
      <c r="AI119" t="s">
        <v>1254</v>
      </c>
      <c r="AJ119" t="s">
        <v>124</v>
      </c>
      <c r="AK119" t="s">
        <v>28</v>
      </c>
      <c r="AL119" t="s">
        <v>1255</v>
      </c>
      <c r="AM119" t="s">
        <v>3</v>
      </c>
      <c r="AN119" t="s">
        <v>169</v>
      </c>
      <c r="AO119" t="s">
        <v>146</v>
      </c>
      <c r="AP119" t="s">
        <v>45</v>
      </c>
    </row>
    <row r="120" spans="1:42" x14ac:dyDescent="0.3">
      <c r="A120" t="s">
        <v>6</v>
      </c>
      <c r="B120" t="s">
        <v>33</v>
      </c>
      <c r="C120" t="s">
        <v>131</v>
      </c>
      <c r="D120" t="s">
        <v>124</v>
      </c>
      <c r="E120" t="s">
        <v>568</v>
      </c>
      <c r="F120" t="s">
        <v>9</v>
      </c>
      <c r="G120" t="s">
        <v>721</v>
      </c>
      <c r="H120" t="s">
        <v>348</v>
      </c>
      <c r="I120" t="s">
        <v>42</v>
      </c>
      <c r="J120" t="s">
        <v>14</v>
      </c>
      <c r="K120" t="s">
        <v>14</v>
      </c>
      <c r="L120" t="s">
        <v>15</v>
      </c>
      <c r="M120" t="s">
        <v>303</v>
      </c>
      <c r="N120" t="s">
        <v>34</v>
      </c>
      <c r="O120" t="s">
        <v>3</v>
      </c>
      <c r="P120" t="s">
        <v>279</v>
      </c>
      <c r="Q120" t="s">
        <v>42</v>
      </c>
      <c r="R120" t="s">
        <v>169</v>
      </c>
      <c r="S120" t="s">
        <v>15</v>
      </c>
      <c r="T120" t="s">
        <v>1256</v>
      </c>
      <c r="U120" t="s">
        <v>669</v>
      </c>
      <c r="V120" t="s">
        <v>576</v>
      </c>
      <c r="W120" t="s">
        <v>27</v>
      </c>
      <c r="X120" t="s">
        <v>1257</v>
      </c>
      <c r="Y120" t="s">
        <v>1258</v>
      </c>
      <c r="Z120" t="s">
        <v>9</v>
      </c>
      <c r="AA120" t="s">
        <v>33</v>
      </c>
      <c r="AB120" t="s">
        <v>28</v>
      </c>
      <c r="AC120" t="s">
        <v>1259</v>
      </c>
      <c r="AD120" t="s">
        <v>128</v>
      </c>
      <c r="AE120" t="s">
        <v>1260</v>
      </c>
      <c r="AF120" t="s">
        <v>1261</v>
      </c>
      <c r="AG120" t="s">
        <v>801</v>
      </c>
      <c r="AH120" t="s">
        <v>1262</v>
      </c>
      <c r="AI120" t="s">
        <v>1263</v>
      </c>
      <c r="AJ120" t="s">
        <v>486</v>
      </c>
      <c r="AK120" t="s">
        <v>34</v>
      </c>
      <c r="AL120" t="s">
        <v>1264</v>
      </c>
      <c r="AM120" t="s">
        <v>15</v>
      </c>
      <c r="AN120" t="s">
        <v>132</v>
      </c>
      <c r="AO120" t="s">
        <v>151</v>
      </c>
      <c r="AP120" t="s">
        <v>45</v>
      </c>
    </row>
    <row r="121" spans="1:42" x14ac:dyDescent="0.3">
      <c r="A121" t="s">
        <v>41</v>
      </c>
      <c r="B121" t="s">
        <v>24</v>
      </c>
      <c r="C121" t="s">
        <v>133</v>
      </c>
      <c r="D121" t="s">
        <v>421</v>
      </c>
      <c r="E121" t="s">
        <v>127</v>
      </c>
      <c r="F121" t="s">
        <v>27</v>
      </c>
      <c r="G121" t="s">
        <v>739</v>
      </c>
      <c r="H121" t="s">
        <v>529</v>
      </c>
      <c r="I121" t="s">
        <v>146</v>
      </c>
      <c r="J121" t="s">
        <v>42</v>
      </c>
      <c r="K121" t="s">
        <v>14</v>
      </c>
      <c r="L121" t="s">
        <v>15</v>
      </c>
      <c r="M121" t="s">
        <v>124</v>
      </c>
      <c r="N121" t="s">
        <v>14</v>
      </c>
      <c r="O121" t="s">
        <v>3</v>
      </c>
      <c r="P121" t="s">
        <v>324</v>
      </c>
      <c r="Q121" t="s">
        <v>27</v>
      </c>
      <c r="R121" t="s">
        <v>324</v>
      </c>
      <c r="S121" t="s">
        <v>42</v>
      </c>
      <c r="T121" t="s">
        <v>648</v>
      </c>
      <c r="U121" t="s">
        <v>1075</v>
      </c>
      <c r="V121" t="s">
        <v>1265</v>
      </c>
      <c r="W121" t="s">
        <v>27</v>
      </c>
      <c r="X121" t="s">
        <v>1266</v>
      </c>
      <c r="Y121" t="s">
        <v>1234</v>
      </c>
      <c r="Z121" t="s">
        <v>9</v>
      </c>
      <c r="AA121" t="s">
        <v>33</v>
      </c>
      <c r="AB121" t="s">
        <v>24</v>
      </c>
      <c r="AC121" t="s">
        <v>1267</v>
      </c>
      <c r="AD121" t="s">
        <v>264</v>
      </c>
      <c r="AE121" t="s">
        <v>1268</v>
      </c>
      <c r="AF121" t="s">
        <v>1269</v>
      </c>
      <c r="AG121" t="s">
        <v>1270</v>
      </c>
      <c r="AH121" t="s">
        <v>235</v>
      </c>
      <c r="AI121" t="s">
        <v>1271</v>
      </c>
      <c r="AJ121" t="s">
        <v>303</v>
      </c>
      <c r="AK121" t="s">
        <v>28</v>
      </c>
      <c r="AL121" t="s">
        <v>1272</v>
      </c>
      <c r="AM121" t="s">
        <v>9</v>
      </c>
      <c r="AN121" t="s">
        <v>115</v>
      </c>
      <c r="AO121" t="s">
        <v>135</v>
      </c>
      <c r="AP121" t="s">
        <v>45</v>
      </c>
    </row>
    <row r="122" spans="1:42" x14ac:dyDescent="0.3">
      <c r="A122" t="s">
        <v>22</v>
      </c>
      <c r="B122" t="s">
        <v>103</v>
      </c>
      <c r="C122" t="s">
        <v>24</v>
      </c>
      <c r="D122" t="s">
        <v>527</v>
      </c>
      <c r="E122" t="s">
        <v>147</v>
      </c>
      <c r="F122" t="s">
        <v>3</v>
      </c>
      <c r="G122" t="s">
        <v>1149</v>
      </c>
      <c r="H122" t="s">
        <v>300</v>
      </c>
      <c r="I122" t="s">
        <v>126</v>
      </c>
      <c r="J122" t="s">
        <v>131</v>
      </c>
      <c r="K122" t="s">
        <v>27</v>
      </c>
      <c r="L122" t="s">
        <v>3</v>
      </c>
      <c r="M122" t="s">
        <v>224</v>
      </c>
      <c r="N122" t="s">
        <v>42</v>
      </c>
      <c r="O122" t="s">
        <v>9</v>
      </c>
      <c r="P122" t="s">
        <v>254</v>
      </c>
      <c r="Q122" t="s">
        <v>185</v>
      </c>
      <c r="R122" t="s">
        <v>227</v>
      </c>
      <c r="S122" t="s">
        <v>3</v>
      </c>
      <c r="T122" t="s">
        <v>470</v>
      </c>
      <c r="U122" t="s">
        <v>1201</v>
      </c>
      <c r="V122" t="s">
        <v>1273</v>
      </c>
      <c r="W122" t="s">
        <v>27</v>
      </c>
      <c r="X122" t="s">
        <v>1274</v>
      </c>
      <c r="Y122" t="s">
        <v>484</v>
      </c>
      <c r="Z122" t="s">
        <v>27</v>
      </c>
      <c r="AA122" t="s">
        <v>15</v>
      </c>
      <c r="AB122" t="s">
        <v>15</v>
      </c>
      <c r="AC122" t="s">
        <v>1275</v>
      </c>
      <c r="AD122" t="s">
        <v>471</v>
      </c>
      <c r="AE122" t="s">
        <v>1276</v>
      </c>
      <c r="AF122" t="s">
        <v>1277</v>
      </c>
      <c r="AG122" t="s">
        <v>781</v>
      </c>
      <c r="AH122" t="s">
        <v>1262</v>
      </c>
      <c r="AI122" t="s">
        <v>1278</v>
      </c>
      <c r="AJ122" t="s">
        <v>154</v>
      </c>
      <c r="AK122" t="s">
        <v>24</v>
      </c>
      <c r="AL122" t="s">
        <v>390</v>
      </c>
      <c r="AM122" t="s">
        <v>15</v>
      </c>
      <c r="AN122" t="s">
        <v>200</v>
      </c>
      <c r="AO122" t="s">
        <v>103</v>
      </c>
      <c r="AP122" t="s">
        <v>49</v>
      </c>
    </row>
    <row r="123" spans="1:42" x14ac:dyDescent="0.3">
      <c r="A123" t="s">
        <v>26</v>
      </c>
      <c r="B123" t="s">
        <v>133</v>
      </c>
      <c r="C123" t="s">
        <v>28</v>
      </c>
      <c r="D123" t="s">
        <v>515</v>
      </c>
      <c r="E123" t="s">
        <v>128</v>
      </c>
      <c r="F123" t="s">
        <v>14</v>
      </c>
      <c r="G123" t="s">
        <v>658</v>
      </c>
      <c r="H123" t="s">
        <v>143</v>
      </c>
      <c r="I123" t="s">
        <v>113</v>
      </c>
      <c r="J123" t="s">
        <v>28</v>
      </c>
      <c r="K123" t="s">
        <v>27</v>
      </c>
      <c r="L123" t="s">
        <v>9</v>
      </c>
      <c r="M123" t="s">
        <v>147</v>
      </c>
      <c r="N123" t="s">
        <v>42</v>
      </c>
      <c r="O123" t="s">
        <v>28</v>
      </c>
      <c r="P123" t="s">
        <v>503</v>
      </c>
      <c r="Q123" t="s">
        <v>269</v>
      </c>
      <c r="R123" t="s">
        <v>291</v>
      </c>
      <c r="S123" t="s">
        <v>3</v>
      </c>
      <c r="T123" t="s">
        <v>170</v>
      </c>
      <c r="U123" t="s">
        <v>1279</v>
      </c>
      <c r="V123" t="s">
        <v>456</v>
      </c>
      <c r="W123" t="s">
        <v>14</v>
      </c>
      <c r="X123" t="s">
        <v>1280</v>
      </c>
      <c r="Y123" t="s">
        <v>579</v>
      </c>
      <c r="Z123" t="s">
        <v>9</v>
      </c>
      <c r="AA123" t="s">
        <v>9</v>
      </c>
      <c r="AB123" t="s">
        <v>3</v>
      </c>
      <c r="AC123" t="s">
        <v>1281</v>
      </c>
      <c r="AD123" t="s">
        <v>876</v>
      </c>
      <c r="AE123" t="s">
        <v>1282</v>
      </c>
      <c r="AF123" t="s">
        <v>1283</v>
      </c>
      <c r="AG123" t="s">
        <v>242</v>
      </c>
      <c r="AH123" t="s">
        <v>633</v>
      </c>
      <c r="AI123" t="s">
        <v>1284</v>
      </c>
      <c r="AJ123" t="s">
        <v>527</v>
      </c>
      <c r="AK123" t="s">
        <v>28</v>
      </c>
      <c r="AL123" t="s">
        <v>570</v>
      </c>
      <c r="AM123" t="s">
        <v>3</v>
      </c>
      <c r="AN123" t="s">
        <v>103</v>
      </c>
      <c r="AO123" t="s">
        <v>133</v>
      </c>
      <c r="AP123" t="s">
        <v>49</v>
      </c>
    </row>
    <row r="124" spans="1:42" x14ac:dyDescent="0.3">
      <c r="A124" t="s">
        <v>25</v>
      </c>
      <c r="B124" t="s">
        <v>135</v>
      </c>
      <c r="C124" t="s">
        <v>33</v>
      </c>
      <c r="D124" t="s">
        <v>503</v>
      </c>
      <c r="E124" t="s">
        <v>163</v>
      </c>
      <c r="F124" t="s">
        <v>14</v>
      </c>
      <c r="G124" t="s">
        <v>1285</v>
      </c>
      <c r="H124" t="s">
        <v>373</v>
      </c>
      <c r="I124" t="s">
        <v>33</v>
      </c>
      <c r="J124" t="s">
        <v>113</v>
      </c>
      <c r="K124" t="s">
        <v>42</v>
      </c>
      <c r="L124" t="s">
        <v>14</v>
      </c>
      <c r="M124" t="s">
        <v>127</v>
      </c>
      <c r="N124" t="s">
        <v>111</v>
      </c>
      <c r="O124" t="s">
        <v>14</v>
      </c>
      <c r="P124" t="s">
        <v>112</v>
      </c>
      <c r="Q124" t="s">
        <v>131</v>
      </c>
      <c r="R124" t="s">
        <v>486</v>
      </c>
      <c r="S124" t="s">
        <v>28</v>
      </c>
      <c r="T124" t="s">
        <v>1037</v>
      </c>
      <c r="U124" t="s">
        <v>615</v>
      </c>
      <c r="V124" t="s">
        <v>650</v>
      </c>
      <c r="W124" t="s">
        <v>27</v>
      </c>
      <c r="X124" t="s">
        <v>1286</v>
      </c>
      <c r="Y124" t="s">
        <v>843</v>
      </c>
      <c r="Z124" t="s">
        <v>9</v>
      </c>
      <c r="AA124" t="s">
        <v>3</v>
      </c>
      <c r="AB124" t="s">
        <v>15</v>
      </c>
      <c r="AC124" t="s">
        <v>1287</v>
      </c>
      <c r="AD124" t="s">
        <v>202</v>
      </c>
      <c r="AE124" t="s">
        <v>1288</v>
      </c>
      <c r="AF124" t="s">
        <v>1289</v>
      </c>
      <c r="AG124" t="s">
        <v>1047</v>
      </c>
      <c r="AH124" t="s">
        <v>1290</v>
      </c>
      <c r="AI124" t="s">
        <v>1291</v>
      </c>
      <c r="AJ124" t="s">
        <v>249</v>
      </c>
      <c r="AK124" t="s">
        <v>3</v>
      </c>
      <c r="AL124" t="s">
        <v>1292</v>
      </c>
      <c r="AM124" t="s">
        <v>15</v>
      </c>
      <c r="AN124" t="s">
        <v>169</v>
      </c>
      <c r="AO124" t="s">
        <v>303</v>
      </c>
      <c r="AP124" t="s">
        <v>49</v>
      </c>
    </row>
    <row r="125" spans="1:42" x14ac:dyDescent="0.3">
      <c r="A125" t="s">
        <v>5</v>
      </c>
      <c r="B125" t="s">
        <v>108</v>
      </c>
      <c r="C125" t="s">
        <v>33</v>
      </c>
      <c r="D125" t="s">
        <v>110</v>
      </c>
      <c r="E125" t="s">
        <v>214</v>
      </c>
      <c r="F125" t="s">
        <v>24</v>
      </c>
      <c r="G125" t="s">
        <v>1048</v>
      </c>
      <c r="H125" t="s">
        <v>235</v>
      </c>
      <c r="I125" t="s">
        <v>113</v>
      </c>
      <c r="J125" t="s">
        <v>111</v>
      </c>
      <c r="K125" t="s">
        <v>24</v>
      </c>
      <c r="L125" t="s">
        <v>9</v>
      </c>
      <c r="M125" t="s">
        <v>154</v>
      </c>
      <c r="N125" t="s">
        <v>33</v>
      </c>
      <c r="O125" t="s">
        <v>33</v>
      </c>
      <c r="P125" t="s">
        <v>112</v>
      </c>
      <c r="Q125" t="s">
        <v>131</v>
      </c>
      <c r="R125" t="s">
        <v>124</v>
      </c>
      <c r="S125" t="s">
        <v>15</v>
      </c>
      <c r="T125" t="s">
        <v>358</v>
      </c>
      <c r="U125" t="s">
        <v>129</v>
      </c>
      <c r="V125" t="s">
        <v>1057</v>
      </c>
      <c r="W125" t="s">
        <v>164</v>
      </c>
      <c r="X125" t="s">
        <v>177</v>
      </c>
      <c r="Y125" t="s">
        <v>1279</v>
      </c>
      <c r="Z125" t="s">
        <v>15</v>
      </c>
      <c r="AA125" t="s">
        <v>28</v>
      </c>
      <c r="AB125" t="s">
        <v>27</v>
      </c>
      <c r="AC125" t="s">
        <v>1293</v>
      </c>
      <c r="AD125" t="s">
        <v>168</v>
      </c>
      <c r="AE125" t="s">
        <v>1294</v>
      </c>
      <c r="AF125" t="s">
        <v>1295</v>
      </c>
      <c r="AG125" t="s">
        <v>1296</v>
      </c>
      <c r="AH125" t="s">
        <v>376</v>
      </c>
      <c r="AI125" t="s">
        <v>1297</v>
      </c>
      <c r="AJ125" t="s">
        <v>356</v>
      </c>
      <c r="AK125" t="s">
        <v>24</v>
      </c>
      <c r="AL125" t="s">
        <v>1138</v>
      </c>
      <c r="AM125" t="s">
        <v>3</v>
      </c>
      <c r="AN125" t="s">
        <v>336</v>
      </c>
      <c r="AO125" t="s">
        <v>145</v>
      </c>
      <c r="AP125" t="s">
        <v>49</v>
      </c>
    </row>
    <row r="126" spans="1:42" x14ac:dyDescent="0.3">
      <c r="A126" t="s">
        <v>21</v>
      </c>
      <c r="B126" t="s">
        <v>108</v>
      </c>
      <c r="C126" t="s">
        <v>34</v>
      </c>
      <c r="D126" t="s">
        <v>515</v>
      </c>
      <c r="E126" t="s">
        <v>325</v>
      </c>
      <c r="F126" t="s">
        <v>9</v>
      </c>
      <c r="G126" t="s">
        <v>829</v>
      </c>
      <c r="H126" t="s">
        <v>836</v>
      </c>
      <c r="I126" t="s">
        <v>181</v>
      </c>
      <c r="J126" t="s">
        <v>28</v>
      </c>
      <c r="K126" t="s">
        <v>15</v>
      </c>
      <c r="L126" t="s">
        <v>9</v>
      </c>
      <c r="M126" t="s">
        <v>356</v>
      </c>
      <c r="N126" t="s">
        <v>113</v>
      </c>
      <c r="O126" t="s">
        <v>28</v>
      </c>
      <c r="P126" t="s">
        <v>224</v>
      </c>
      <c r="Q126" t="s">
        <v>42</v>
      </c>
      <c r="R126" t="s">
        <v>152</v>
      </c>
      <c r="S126" t="s">
        <v>15</v>
      </c>
      <c r="T126" t="s">
        <v>383</v>
      </c>
      <c r="U126" t="s">
        <v>1212</v>
      </c>
      <c r="V126" t="s">
        <v>886</v>
      </c>
      <c r="W126" t="s">
        <v>34</v>
      </c>
      <c r="X126" t="s">
        <v>1298</v>
      </c>
      <c r="Y126" t="s">
        <v>940</v>
      </c>
      <c r="Z126" t="s">
        <v>3</v>
      </c>
      <c r="AA126" t="s">
        <v>14</v>
      </c>
      <c r="AB126" t="s">
        <v>14</v>
      </c>
      <c r="AC126" t="s">
        <v>1299</v>
      </c>
      <c r="AD126" t="s">
        <v>203</v>
      </c>
      <c r="AE126" t="s">
        <v>1300</v>
      </c>
      <c r="AF126" t="s">
        <v>1301</v>
      </c>
      <c r="AG126" t="s">
        <v>907</v>
      </c>
      <c r="AH126" t="s">
        <v>1143</v>
      </c>
      <c r="AI126" t="s">
        <v>1302</v>
      </c>
      <c r="AJ126" t="s">
        <v>132</v>
      </c>
      <c r="AK126" t="s">
        <v>28</v>
      </c>
      <c r="AL126" t="s">
        <v>581</v>
      </c>
      <c r="AM126" t="s">
        <v>15</v>
      </c>
      <c r="AN126" t="s">
        <v>148</v>
      </c>
      <c r="AO126" t="s">
        <v>264</v>
      </c>
      <c r="AP126" t="s">
        <v>49</v>
      </c>
    </row>
    <row r="127" spans="1:42" x14ac:dyDescent="0.3">
      <c r="A127" t="s">
        <v>7</v>
      </c>
      <c r="B127" t="s">
        <v>113</v>
      </c>
      <c r="C127" t="s">
        <v>33</v>
      </c>
      <c r="D127" t="s">
        <v>325</v>
      </c>
      <c r="E127" t="s">
        <v>166</v>
      </c>
      <c r="F127" t="s">
        <v>14</v>
      </c>
      <c r="G127" t="s">
        <v>1303</v>
      </c>
      <c r="H127" t="s">
        <v>489</v>
      </c>
      <c r="I127" t="s">
        <v>108</v>
      </c>
      <c r="J127" t="s">
        <v>185</v>
      </c>
      <c r="K127" t="s">
        <v>9</v>
      </c>
      <c r="L127" t="s">
        <v>3</v>
      </c>
      <c r="M127" t="s">
        <v>148</v>
      </c>
      <c r="N127" t="s">
        <v>111</v>
      </c>
      <c r="O127" t="s">
        <v>27</v>
      </c>
      <c r="P127" t="s">
        <v>377</v>
      </c>
      <c r="Q127" t="s">
        <v>111</v>
      </c>
      <c r="R127" t="s">
        <v>421</v>
      </c>
      <c r="S127" t="s">
        <v>27</v>
      </c>
      <c r="T127" t="s">
        <v>530</v>
      </c>
      <c r="U127" t="s">
        <v>997</v>
      </c>
      <c r="V127" t="s">
        <v>708</v>
      </c>
      <c r="W127" t="s">
        <v>33</v>
      </c>
      <c r="X127" t="s">
        <v>1304</v>
      </c>
      <c r="Y127" t="s">
        <v>1081</v>
      </c>
      <c r="Z127" t="s">
        <v>9</v>
      </c>
      <c r="AA127" t="s">
        <v>9</v>
      </c>
      <c r="AB127" t="s">
        <v>9</v>
      </c>
      <c r="AC127" t="s">
        <v>1305</v>
      </c>
      <c r="AD127" t="s">
        <v>187</v>
      </c>
      <c r="AE127" t="s">
        <v>861</v>
      </c>
      <c r="AF127" t="s">
        <v>1306</v>
      </c>
      <c r="AG127" t="s">
        <v>1307</v>
      </c>
      <c r="AH127" t="s">
        <v>609</v>
      </c>
      <c r="AI127" t="s">
        <v>1308</v>
      </c>
      <c r="AJ127" t="s">
        <v>408</v>
      </c>
      <c r="AK127" t="s">
        <v>34</v>
      </c>
      <c r="AL127" t="s">
        <v>1026</v>
      </c>
      <c r="AM127" t="s">
        <v>15</v>
      </c>
      <c r="AN127" t="s">
        <v>345</v>
      </c>
      <c r="AO127" t="s">
        <v>103</v>
      </c>
      <c r="AP127" t="s">
        <v>49</v>
      </c>
    </row>
    <row r="128" spans="1:42" x14ac:dyDescent="0.3">
      <c r="A128" t="s">
        <v>2</v>
      </c>
      <c r="B128" t="s">
        <v>113</v>
      </c>
      <c r="C128" t="s">
        <v>42</v>
      </c>
      <c r="D128" t="s">
        <v>433</v>
      </c>
      <c r="E128" t="s">
        <v>187</v>
      </c>
      <c r="F128" t="s">
        <v>9</v>
      </c>
      <c r="G128" t="s">
        <v>1309</v>
      </c>
      <c r="H128" t="s">
        <v>1310</v>
      </c>
      <c r="I128" t="s">
        <v>164</v>
      </c>
      <c r="J128" t="s">
        <v>42</v>
      </c>
      <c r="K128" t="s">
        <v>24</v>
      </c>
      <c r="L128" t="s">
        <v>14</v>
      </c>
      <c r="M128" t="s">
        <v>166</v>
      </c>
      <c r="N128" t="s">
        <v>109</v>
      </c>
      <c r="O128" t="s">
        <v>3</v>
      </c>
      <c r="P128" t="s">
        <v>304</v>
      </c>
      <c r="Q128" t="s">
        <v>113</v>
      </c>
      <c r="R128" t="s">
        <v>227</v>
      </c>
      <c r="S128" t="s">
        <v>15</v>
      </c>
      <c r="T128" t="s">
        <v>963</v>
      </c>
      <c r="U128" t="s">
        <v>848</v>
      </c>
      <c r="V128" t="s">
        <v>1311</v>
      </c>
      <c r="W128" t="s">
        <v>9</v>
      </c>
      <c r="X128" t="s">
        <v>1098</v>
      </c>
      <c r="Y128" t="s">
        <v>738</v>
      </c>
      <c r="Z128" t="s">
        <v>3</v>
      </c>
      <c r="AA128" t="s">
        <v>24</v>
      </c>
      <c r="AB128" t="s">
        <v>27</v>
      </c>
      <c r="AC128" t="s">
        <v>1312</v>
      </c>
      <c r="AD128" t="s">
        <v>203</v>
      </c>
      <c r="AE128" t="s">
        <v>1313</v>
      </c>
      <c r="AF128" t="s">
        <v>1183</v>
      </c>
      <c r="AG128" t="s">
        <v>1314</v>
      </c>
      <c r="AH128" t="s">
        <v>1315</v>
      </c>
      <c r="AI128" t="s">
        <v>1316</v>
      </c>
      <c r="AJ128" t="s">
        <v>345</v>
      </c>
      <c r="AK128" t="s">
        <v>14</v>
      </c>
      <c r="AL128" t="s">
        <v>1317</v>
      </c>
      <c r="AM128" t="s">
        <v>3</v>
      </c>
      <c r="AN128" t="s">
        <v>200</v>
      </c>
      <c r="AO128" t="s">
        <v>133</v>
      </c>
      <c r="AP128" t="s">
        <v>49</v>
      </c>
    </row>
    <row r="129" spans="1:42" x14ac:dyDescent="0.3">
      <c r="A129" t="s">
        <v>35</v>
      </c>
      <c r="B129" t="s">
        <v>131</v>
      </c>
      <c r="C129" t="s">
        <v>181</v>
      </c>
      <c r="D129" t="s">
        <v>169</v>
      </c>
      <c r="E129" t="s">
        <v>165</v>
      </c>
      <c r="F129" t="s">
        <v>27</v>
      </c>
      <c r="G129" t="s">
        <v>390</v>
      </c>
      <c r="H129" t="s">
        <v>694</v>
      </c>
      <c r="I129" t="s">
        <v>151</v>
      </c>
      <c r="J129" t="s">
        <v>185</v>
      </c>
      <c r="K129" t="s">
        <v>24</v>
      </c>
      <c r="L129" t="s">
        <v>15</v>
      </c>
      <c r="M129" t="s">
        <v>152</v>
      </c>
      <c r="N129" t="s">
        <v>33</v>
      </c>
      <c r="O129" t="s">
        <v>24</v>
      </c>
      <c r="P129" t="s">
        <v>377</v>
      </c>
      <c r="Q129" t="s">
        <v>34</v>
      </c>
      <c r="R129" t="s">
        <v>147</v>
      </c>
      <c r="S129" t="s">
        <v>9</v>
      </c>
      <c r="T129" t="s">
        <v>595</v>
      </c>
      <c r="U129" t="s">
        <v>1318</v>
      </c>
      <c r="V129" t="s">
        <v>106</v>
      </c>
      <c r="W129" t="s">
        <v>3</v>
      </c>
      <c r="X129" t="s">
        <v>1319</v>
      </c>
      <c r="Y129" t="s">
        <v>1320</v>
      </c>
      <c r="Z129" t="s">
        <v>14</v>
      </c>
      <c r="AA129" t="s">
        <v>28</v>
      </c>
      <c r="AB129" t="s">
        <v>24</v>
      </c>
      <c r="AC129" t="s">
        <v>1321</v>
      </c>
      <c r="AD129" t="s">
        <v>264</v>
      </c>
      <c r="AE129" t="s">
        <v>1322</v>
      </c>
      <c r="AF129" t="s">
        <v>1239</v>
      </c>
      <c r="AG129" t="s">
        <v>1323</v>
      </c>
      <c r="AH129" t="s">
        <v>1078</v>
      </c>
      <c r="AI129" t="s">
        <v>1324</v>
      </c>
      <c r="AJ129" t="s">
        <v>486</v>
      </c>
      <c r="AK129" t="s">
        <v>14</v>
      </c>
      <c r="AL129" t="s">
        <v>1325</v>
      </c>
      <c r="AM129" t="s">
        <v>3</v>
      </c>
      <c r="AN129" t="s">
        <v>224</v>
      </c>
      <c r="AO129" t="s">
        <v>151</v>
      </c>
      <c r="AP129" t="s">
        <v>49</v>
      </c>
    </row>
    <row r="130" spans="1:42" x14ac:dyDescent="0.3">
      <c r="A130" t="s">
        <v>18</v>
      </c>
      <c r="B130" t="s">
        <v>109</v>
      </c>
      <c r="C130" t="s">
        <v>113</v>
      </c>
      <c r="D130" t="s">
        <v>249</v>
      </c>
      <c r="E130" t="s">
        <v>136</v>
      </c>
      <c r="F130" t="s">
        <v>3</v>
      </c>
      <c r="G130" t="s">
        <v>1279</v>
      </c>
      <c r="H130" t="s">
        <v>595</v>
      </c>
      <c r="I130" t="s">
        <v>42</v>
      </c>
      <c r="J130" t="s">
        <v>42</v>
      </c>
      <c r="K130" t="s">
        <v>27</v>
      </c>
      <c r="L130" t="s">
        <v>9</v>
      </c>
      <c r="M130" t="s">
        <v>200</v>
      </c>
      <c r="N130" t="s">
        <v>33</v>
      </c>
      <c r="O130" t="s">
        <v>9</v>
      </c>
      <c r="P130" t="s">
        <v>324</v>
      </c>
      <c r="Q130" t="s">
        <v>111</v>
      </c>
      <c r="R130" t="s">
        <v>169</v>
      </c>
      <c r="S130" t="s">
        <v>9</v>
      </c>
      <c r="T130" t="s">
        <v>1219</v>
      </c>
      <c r="U130" t="s">
        <v>930</v>
      </c>
      <c r="V130" t="s">
        <v>1187</v>
      </c>
      <c r="W130" t="s">
        <v>27</v>
      </c>
      <c r="X130" t="s">
        <v>1326</v>
      </c>
      <c r="Y130" t="s">
        <v>1327</v>
      </c>
      <c r="Z130" t="s">
        <v>3</v>
      </c>
      <c r="AA130" t="s">
        <v>9</v>
      </c>
      <c r="AB130" t="s">
        <v>9</v>
      </c>
      <c r="AC130" t="s">
        <v>1328</v>
      </c>
      <c r="AD130" t="s">
        <v>302</v>
      </c>
      <c r="AE130" t="s">
        <v>1214</v>
      </c>
      <c r="AF130" t="s">
        <v>1329</v>
      </c>
      <c r="AG130" t="s">
        <v>1330</v>
      </c>
      <c r="AH130" t="s">
        <v>373</v>
      </c>
      <c r="AI130" t="s">
        <v>1331</v>
      </c>
      <c r="AJ130" t="s">
        <v>200</v>
      </c>
      <c r="AK130" t="s">
        <v>27</v>
      </c>
      <c r="AL130" t="s">
        <v>1004</v>
      </c>
      <c r="AM130" t="s">
        <v>15</v>
      </c>
      <c r="AN130" t="s">
        <v>240</v>
      </c>
      <c r="AO130" t="s">
        <v>28</v>
      </c>
      <c r="AP130" t="s">
        <v>49</v>
      </c>
    </row>
    <row r="131" spans="1:42" x14ac:dyDescent="0.3">
      <c r="A131" t="s">
        <v>23</v>
      </c>
      <c r="B131" t="s">
        <v>111</v>
      </c>
      <c r="C131" t="s">
        <v>181</v>
      </c>
      <c r="D131" t="s">
        <v>356</v>
      </c>
      <c r="E131" t="s">
        <v>182</v>
      </c>
      <c r="F131" t="s">
        <v>14</v>
      </c>
      <c r="G131" t="s">
        <v>1221</v>
      </c>
      <c r="H131" t="s">
        <v>446</v>
      </c>
      <c r="I131" t="s">
        <v>164</v>
      </c>
      <c r="J131" t="s">
        <v>146</v>
      </c>
      <c r="K131" t="s">
        <v>28</v>
      </c>
      <c r="L131" t="s">
        <v>3</v>
      </c>
      <c r="M131" t="s">
        <v>227</v>
      </c>
      <c r="N131" t="s">
        <v>33</v>
      </c>
      <c r="O131" t="s">
        <v>9</v>
      </c>
      <c r="P131" t="s">
        <v>136</v>
      </c>
      <c r="Q131" t="s">
        <v>34</v>
      </c>
      <c r="R131" t="s">
        <v>105</v>
      </c>
      <c r="S131" t="s">
        <v>15</v>
      </c>
      <c r="T131" t="s">
        <v>876</v>
      </c>
      <c r="U131" t="s">
        <v>886</v>
      </c>
      <c r="V131" t="s">
        <v>982</v>
      </c>
      <c r="W131" t="s">
        <v>14</v>
      </c>
      <c r="X131" t="s">
        <v>1332</v>
      </c>
      <c r="Y131" t="s">
        <v>1179</v>
      </c>
      <c r="Z131" t="s">
        <v>15</v>
      </c>
      <c r="AA131" t="s">
        <v>28</v>
      </c>
      <c r="AB131" t="s">
        <v>14</v>
      </c>
      <c r="AC131" t="s">
        <v>1333</v>
      </c>
      <c r="AD131" t="s">
        <v>421</v>
      </c>
      <c r="AE131" t="s">
        <v>1334</v>
      </c>
      <c r="AF131" t="s">
        <v>1335</v>
      </c>
      <c r="AG131" t="s">
        <v>1147</v>
      </c>
      <c r="AH131" t="s">
        <v>1256</v>
      </c>
      <c r="AI131" t="s">
        <v>1336</v>
      </c>
      <c r="AJ131" t="s">
        <v>291</v>
      </c>
      <c r="AK131" t="s">
        <v>33</v>
      </c>
      <c r="AL131" t="s">
        <v>378</v>
      </c>
      <c r="AM131" t="s">
        <v>14</v>
      </c>
      <c r="AN131" t="s">
        <v>408</v>
      </c>
      <c r="AO131" t="s">
        <v>126</v>
      </c>
      <c r="AP131" t="s">
        <v>49</v>
      </c>
    </row>
    <row r="132" spans="1:42" x14ac:dyDescent="0.3">
      <c r="A132" t="s">
        <v>10</v>
      </c>
      <c r="B132" t="s">
        <v>111</v>
      </c>
      <c r="C132" t="s">
        <v>164</v>
      </c>
      <c r="D132" t="s">
        <v>249</v>
      </c>
      <c r="E132" t="s">
        <v>433</v>
      </c>
      <c r="F132" t="s">
        <v>27</v>
      </c>
      <c r="G132" t="s">
        <v>946</v>
      </c>
      <c r="H132" t="s">
        <v>719</v>
      </c>
      <c r="I132" t="s">
        <v>109</v>
      </c>
      <c r="J132" t="s">
        <v>28</v>
      </c>
      <c r="K132" t="s">
        <v>27</v>
      </c>
      <c r="L132" t="s">
        <v>14</v>
      </c>
      <c r="M132" t="s">
        <v>291</v>
      </c>
      <c r="N132" t="s">
        <v>111</v>
      </c>
      <c r="O132" t="s">
        <v>9</v>
      </c>
      <c r="P132" t="s">
        <v>198</v>
      </c>
      <c r="Q132" t="s">
        <v>28</v>
      </c>
      <c r="R132" t="s">
        <v>322</v>
      </c>
      <c r="S132" t="s">
        <v>15</v>
      </c>
      <c r="T132" t="s">
        <v>293</v>
      </c>
      <c r="U132" t="s">
        <v>225</v>
      </c>
      <c r="V132" t="s">
        <v>1235</v>
      </c>
      <c r="W132" t="s">
        <v>42</v>
      </c>
      <c r="X132" t="s">
        <v>1337</v>
      </c>
      <c r="Y132" t="s">
        <v>602</v>
      </c>
      <c r="Z132" t="s">
        <v>3</v>
      </c>
      <c r="AA132" t="s">
        <v>27</v>
      </c>
      <c r="AB132" t="s">
        <v>27</v>
      </c>
      <c r="AC132" t="s">
        <v>1338</v>
      </c>
      <c r="AD132" t="s">
        <v>198</v>
      </c>
      <c r="AE132" t="s">
        <v>1339</v>
      </c>
      <c r="AF132" t="s">
        <v>1340</v>
      </c>
      <c r="AG132" t="s">
        <v>1341</v>
      </c>
      <c r="AH132" t="s">
        <v>327</v>
      </c>
      <c r="AI132" t="s">
        <v>1342</v>
      </c>
      <c r="AJ132" t="s">
        <v>148</v>
      </c>
      <c r="AK132" t="s">
        <v>24</v>
      </c>
      <c r="AL132" t="s">
        <v>390</v>
      </c>
      <c r="AM132" t="s">
        <v>15</v>
      </c>
      <c r="AN132" t="s">
        <v>136</v>
      </c>
      <c r="AO132" t="s">
        <v>200</v>
      </c>
      <c r="AP132" t="s">
        <v>49</v>
      </c>
    </row>
    <row r="133" spans="1:42" x14ac:dyDescent="0.3">
      <c r="A133" t="s">
        <v>48</v>
      </c>
      <c r="B133" t="s">
        <v>111</v>
      </c>
      <c r="C133" t="s">
        <v>131</v>
      </c>
      <c r="D133" t="s">
        <v>197</v>
      </c>
      <c r="E133" t="s">
        <v>635</v>
      </c>
      <c r="F133" t="s">
        <v>9</v>
      </c>
      <c r="G133" t="s">
        <v>615</v>
      </c>
      <c r="H133" t="s">
        <v>700</v>
      </c>
      <c r="I133" t="s">
        <v>111</v>
      </c>
      <c r="J133" t="s">
        <v>33</v>
      </c>
      <c r="K133" t="s">
        <v>15</v>
      </c>
      <c r="L133" t="s">
        <v>3</v>
      </c>
      <c r="M133" t="s">
        <v>132</v>
      </c>
      <c r="N133" t="s">
        <v>28</v>
      </c>
      <c r="O133" t="s">
        <v>9</v>
      </c>
      <c r="P133" t="s">
        <v>215</v>
      </c>
      <c r="Q133" t="s">
        <v>146</v>
      </c>
      <c r="R133" t="s">
        <v>163</v>
      </c>
      <c r="S133" t="s">
        <v>15</v>
      </c>
      <c r="T133" t="s">
        <v>952</v>
      </c>
      <c r="U133" t="s">
        <v>718</v>
      </c>
      <c r="V133" t="s">
        <v>409</v>
      </c>
      <c r="W133" t="s">
        <v>9</v>
      </c>
      <c r="X133" t="s">
        <v>917</v>
      </c>
      <c r="Y133" t="s">
        <v>479</v>
      </c>
      <c r="Z133" t="s">
        <v>3</v>
      </c>
      <c r="AA133" t="s">
        <v>24</v>
      </c>
      <c r="AB133" t="s">
        <v>27</v>
      </c>
      <c r="AC133" t="s">
        <v>1343</v>
      </c>
      <c r="AD133" t="s">
        <v>263</v>
      </c>
      <c r="AE133" t="s">
        <v>1344</v>
      </c>
      <c r="AF133" t="s">
        <v>1345</v>
      </c>
      <c r="AG133" t="s">
        <v>1346</v>
      </c>
      <c r="AH133" t="s">
        <v>577</v>
      </c>
      <c r="AI133" t="s">
        <v>1347</v>
      </c>
      <c r="AJ133" t="s">
        <v>214</v>
      </c>
      <c r="AK133" t="s">
        <v>146</v>
      </c>
      <c r="AL133" t="s">
        <v>314</v>
      </c>
      <c r="AM133" t="s">
        <v>3</v>
      </c>
      <c r="AN133" t="s">
        <v>163</v>
      </c>
      <c r="AO133" t="s">
        <v>125</v>
      </c>
      <c r="AP133" t="s">
        <v>49</v>
      </c>
    </row>
    <row r="134" spans="1:42" x14ac:dyDescent="0.3">
      <c r="A134" t="s">
        <v>6</v>
      </c>
      <c r="B134" t="s">
        <v>146</v>
      </c>
      <c r="C134" t="s">
        <v>181</v>
      </c>
      <c r="D134" t="s">
        <v>197</v>
      </c>
      <c r="E134" t="s">
        <v>110</v>
      </c>
      <c r="F134" t="s">
        <v>14</v>
      </c>
      <c r="G134" t="s">
        <v>721</v>
      </c>
      <c r="H134" t="s">
        <v>253</v>
      </c>
      <c r="I134" t="s">
        <v>146</v>
      </c>
      <c r="J134" t="s">
        <v>33</v>
      </c>
      <c r="K134" t="s">
        <v>14</v>
      </c>
      <c r="L134" t="s">
        <v>3</v>
      </c>
      <c r="M134" t="s">
        <v>171</v>
      </c>
      <c r="N134" t="s">
        <v>109</v>
      </c>
      <c r="O134" t="s">
        <v>28</v>
      </c>
      <c r="P134" t="s">
        <v>1089</v>
      </c>
      <c r="Q134" t="s">
        <v>24</v>
      </c>
      <c r="R134" t="s">
        <v>699</v>
      </c>
      <c r="S134" t="s">
        <v>9</v>
      </c>
      <c r="T134" t="s">
        <v>343</v>
      </c>
      <c r="U134" t="s">
        <v>275</v>
      </c>
      <c r="V134" t="s">
        <v>602</v>
      </c>
      <c r="W134" t="s">
        <v>42</v>
      </c>
      <c r="X134" t="s">
        <v>1326</v>
      </c>
      <c r="Y134" t="s">
        <v>1147</v>
      </c>
      <c r="Z134" t="s">
        <v>24</v>
      </c>
      <c r="AA134" t="s">
        <v>34</v>
      </c>
      <c r="AB134" t="s">
        <v>33</v>
      </c>
      <c r="AC134" t="s">
        <v>1348</v>
      </c>
      <c r="AD134" t="s">
        <v>635</v>
      </c>
      <c r="AE134" t="s">
        <v>1349</v>
      </c>
      <c r="AF134" t="s">
        <v>1350</v>
      </c>
      <c r="AG134" t="s">
        <v>1351</v>
      </c>
      <c r="AH134" t="s">
        <v>343</v>
      </c>
      <c r="AI134" t="s">
        <v>1352</v>
      </c>
      <c r="AJ134" t="s">
        <v>423</v>
      </c>
      <c r="AK134" t="s">
        <v>42</v>
      </c>
      <c r="AL134" t="s">
        <v>399</v>
      </c>
      <c r="AM134" t="s">
        <v>3</v>
      </c>
      <c r="AN134" t="s">
        <v>203</v>
      </c>
      <c r="AO134" t="s">
        <v>125</v>
      </c>
      <c r="AP134" t="s">
        <v>49</v>
      </c>
    </row>
    <row r="135" spans="1:42" x14ac:dyDescent="0.3">
      <c r="A135" t="s">
        <v>47</v>
      </c>
      <c r="B135" t="s">
        <v>146</v>
      </c>
      <c r="C135" t="s">
        <v>131</v>
      </c>
      <c r="D135" t="s">
        <v>132</v>
      </c>
      <c r="E135" t="s">
        <v>105</v>
      </c>
      <c r="F135" t="s">
        <v>3</v>
      </c>
      <c r="G135" t="s">
        <v>1230</v>
      </c>
      <c r="H135" t="s">
        <v>281</v>
      </c>
      <c r="I135" t="s">
        <v>33</v>
      </c>
      <c r="J135" t="s">
        <v>185</v>
      </c>
      <c r="K135" t="s">
        <v>3</v>
      </c>
      <c r="L135" t="s">
        <v>27</v>
      </c>
      <c r="M135" t="s">
        <v>240</v>
      </c>
      <c r="N135" t="s">
        <v>24</v>
      </c>
      <c r="O135" t="s">
        <v>15</v>
      </c>
      <c r="P135" t="s">
        <v>1089</v>
      </c>
      <c r="Q135" t="s">
        <v>146</v>
      </c>
      <c r="R135" t="s">
        <v>635</v>
      </c>
      <c r="S135" t="s">
        <v>15</v>
      </c>
      <c r="T135" t="s">
        <v>253</v>
      </c>
      <c r="U135" t="s">
        <v>793</v>
      </c>
      <c r="V135" t="s">
        <v>1351</v>
      </c>
      <c r="W135" t="s">
        <v>27</v>
      </c>
      <c r="X135" t="s">
        <v>1353</v>
      </c>
      <c r="Y135" t="s">
        <v>1354</v>
      </c>
      <c r="Z135" t="s">
        <v>14</v>
      </c>
      <c r="AA135" t="s">
        <v>33</v>
      </c>
      <c r="AB135" t="s">
        <v>27</v>
      </c>
      <c r="AC135" t="s">
        <v>1355</v>
      </c>
      <c r="AD135" t="s">
        <v>197</v>
      </c>
      <c r="AE135" t="s">
        <v>1356</v>
      </c>
      <c r="AF135" t="s">
        <v>1357</v>
      </c>
      <c r="AG135" t="s">
        <v>1358</v>
      </c>
      <c r="AH135" t="s">
        <v>764</v>
      </c>
      <c r="AI135" t="s">
        <v>1359</v>
      </c>
      <c r="AJ135" t="s">
        <v>421</v>
      </c>
      <c r="AK135" t="s">
        <v>24</v>
      </c>
      <c r="AL135" t="s">
        <v>1360</v>
      </c>
      <c r="AM135" t="s">
        <v>9</v>
      </c>
      <c r="AN135" t="s">
        <v>152</v>
      </c>
      <c r="AO135" t="s">
        <v>164</v>
      </c>
      <c r="AP135" t="s">
        <v>49</v>
      </c>
    </row>
    <row r="136" spans="1:42" x14ac:dyDescent="0.3">
      <c r="A136" t="s">
        <v>50</v>
      </c>
      <c r="B136" t="s">
        <v>42</v>
      </c>
      <c r="C136" t="s">
        <v>151</v>
      </c>
      <c r="D136" t="s">
        <v>268</v>
      </c>
      <c r="E136" t="s">
        <v>227</v>
      </c>
      <c r="F136" t="s">
        <v>9</v>
      </c>
      <c r="G136" t="s">
        <v>838</v>
      </c>
      <c r="H136" t="s">
        <v>700</v>
      </c>
      <c r="I136" t="s">
        <v>113</v>
      </c>
      <c r="J136" t="s">
        <v>42</v>
      </c>
      <c r="K136" t="s">
        <v>14</v>
      </c>
      <c r="L136" t="s">
        <v>9</v>
      </c>
      <c r="M136" t="s">
        <v>249</v>
      </c>
      <c r="N136" t="s">
        <v>27</v>
      </c>
      <c r="O136" t="s">
        <v>9</v>
      </c>
      <c r="P136" t="s">
        <v>527</v>
      </c>
      <c r="Q136" t="s">
        <v>33</v>
      </c>
      <c r="R136" t="s">
        <v>105</v>
      </c>
      <c r="S136" t="s">
        <v>15</v>
      </c>
      <c r="T136" t="s">
        <v>1361</v>
      </c>
      <c r="U136" t="s">
        <v>1362</v>
      </c>
      <c r="V136" t="s">
        <v>476</v>
      </c>
      <c r="W136" t="s">
        <v>108</v>
      </c>
      <c r="X136" t="s">
        <v>1363</v>
      </c>
      <c r="Y136" t="s">
        <v>1364</v>
      </c>
      <c r="Z136" t="s">
        <v>24</v>
      </c>
      <c r="AA136" t="s">
        <v>24</v>
      </c>
      <c r="AB136" t="s">
        <v>9</v>
      </c>
      <c r="AC136" t="s">
        <v>1365</v>
      </c>
      <c r="AD136" t="s">
        <v>261</v>
      </c>
      <c r="AE136" t="s">
        <v>1366</v>
      </c>
      <c r="AF136" t="s">
        <v>1367</v>
      </c>
      <c r="AG136" t="s">
        <v>328</v>
      </c>
      <c r="AH136" t="s">
        <v>499</v>
      </c>
      <c r="AI136" t="s">
        <v>1368</v>
      </c>
      <c r="AJ136" t="s">
        <v>132</v>
      </c>
      <c r="AK136" t="s">
        <v>14</v>
      </c>
      <c r="AL136" t="s">
        <v>1163</v>
      </c>
      <c r="AM136" t="s">
        <v>14</v>
      </c>
      <c r="AN136" t="s">
        <v>237</v>
      </c>
      <c r="AO136" t="s">
        <v>113</v>
      </c>
      <c r="AP136" t="s">
        <v>49</v>
      </c>
    </row>
    <row r="137" spans="1:42" x14ac:dyDescent="0.3">
      <c r="A137" t="s">
        <v>37</v>
      </c>
      <c r="B137" t="s">
        <v>42</v>
      </c>
      <c r="C137" t="s">
        <v>131</v>
      </c>
      <c r="D137" t="s">
        <v>291</v>
      </c>
      <c r="E137" t="s">
        <v>278</v>
      </c>
      <c r="F137" t="s">
        <v>27</v>
      </c>
      <c r="G137" t="s">
        <v>1369</v>
      </c>
      <c r="H137" t="s">
        <v>229</v>
      </c>
      <c r="I137" t="s">
        <v>109</v>
      </c>
      <c r="J137" t="s">
        <v>42</v>
      </c>
      <c r="K137" t="s">
        <v>14</v>
      </c>
      <c r="L137" t="s">
        <v>15</v>
      </c>
      <c r="M137" t="s">
        <v>423</v>
      </c>
      <c r="N137" t="s">
        <v>3</v>
      </c>
      <c r="O137" t="s">
        <v>3</v>
      </c>
      <c r="P137" t="s">
        <v>110</v>
      </c>
      <c r="Q137" t="s">
        <v>109</v>
      </c>
      <c r="R137" t="s">
        <v>249</v>
      </c>
      <c r="S137" t="s">
        <v>42</v>
      </c>
      <c r="T137" t="s">
        <v>648</v>
      </c>
      <c r="U137" t="s">
        <v>528</v>
      </c>
      <c r="V137" t="s">
        <v>1187</v>
      </c>
      <c r="W137" t="s">
        <v>24</v>
      </c>
      <c r="X137" t="s">
        <v>1370</v>
      </c>
      <c r="Y137" t="s">
        <v>1371</v>
      </c>
      <c r="Z137" t="s">
        <v>27</v>
      </c>
      <c r="AA137" t="s">
        <v>28</v>
      </c>
      <c r="AB137" t="s">
        <v>28</v>
      </c>
      <c r="AC137" t="s">
        <v>1372</v>
      </c>
      <c r="AD137" t="s">
        <v>252</v>
      </c>
      <c r="AE137" t="s">
        <v>1373</v>
      </c>
      <c r="AF137" t="s">
        <v>1374</v>
      </c>
      <c r="AG137" t="s">
        <v>217</v>
      </c>
      <c r="AH137" t="s">
        <v>776</v>
      </c>
      <c r="AI137" t="s">
        <v>1375</v>
      </c>
      <c r="AJ137" t="s">
        <v>171</v>
      </c>
      <c r="AK137" t="s">
        <v>14</v>
      </c>
      <c r="AL137" t="s">
        <v>1376</v>
      </c>
      <c r="AM137" t="s">
        <v>15</v>
      </c>
      <c r="AN137" t="s">
        <v>337</v>
      </c>
      <c r="AO137" t="s">
        <v>28</v>
      </c>
      <c r="AP137" t="s">
        <v>49</v>
      </c>
    </row>
    <row r="138" spans="1:42" x14ac:dyDescent="0.3">
      <c r="A138" t="s">
        <v>29</v>
      </c>
      <c r="B138" t="s">
        <v>42</v>
      </c>
      <c r="C138" t="s">
        <v>181</v>
      </c>
      <c r="D138" t="s">
        <v>132</v>
      </c>
      <c r="E138" t="s">
        <v>128</v>
      </c>
      <c r="F138" t="s">
        <v>14</v>
      </c>
      <c r="G138" t="s">
        <v>1377</v>
      </c>
      <c r="H138" t="s">
        <v>436</v>
      </c>
      <c r="I138" t="s">
        <v>33</v>
      </c>
      <c r="J138" t="s">
        <v>9</v>
      </c>
      <c r="K138" t="s">
        <v>27</v>
      </c>
      <c r="L138" t="s">
        <v>3</v>
      </c>
      <c r="M138" t="s">
        <v>423</v>
      </c>
      <c r="N138" t="s">
        <v>34</v>
      </c>
      <c r="O138" t="s">
        <v>14</v>
      </c>
      <c r="P138" t="s">
        <v>322</v>
      </c>
      <c r="Q138" t="s">
        <v>111</v>
      </c>
      <c r="R138" t="s">
        <v>187</v>
      </c>
      <c r="S138" t="s">
        <v>15</v>
      </c>
      <c r="T138" t="s">
        <v>333</v>
      </c>
      <c r="U138" t="s">
        <v>996</v>
      </c>
      <c r="V138" t="s">
        <v>787</v>
      </c>
      <c r="W138" t="s">
        <v>42</v>
      </c>
      <c r="X138" t="s">
        <v>1378</v>
      </c>
      <c r="Y138" t="s">
        <v>786</v>
      </c>
      <c r="Z138" t="s">
        <v>27</v>
      </c>
      <c r="AA138" t="s">
        <v>27</v>
      </c>
      <c r="AB138" t="s">
        <v>27</v>
      </c>
      <c r="AC138" t="s">
        <v>1379</v>
      </c>
      <c r="AD138" t="s">
        <v>202</v>
      </c>
      <c r="AE138" t="s">
        <v>413</v>
      </c>
      <c r="AF138" t="s">
        <v>1380</v>
      </c>
      <c r="AG138" t="s">
        <v>1381</v>
      </c>
      <c r="AH138" t="s">
        <v>1106</v>
      </c>
      <c r="AI138" t="s">
        <v>1382</v>
      </c>
      <c r="AJ138" t="s">
        <v>264</v>
      </c>
      <c r="AK138" t="s">
        <v>34</v>
      </c>
      <c r="AL138" t="s">
        <v>469</v>
      </c>
      <c r="AM138" t="s">
        <v>15</v>
      </c>
      <c r="AN138" t="s">
        <v>202</v>
      </c>
      <c r="AO138" t="s">
        <v>486</v>
      </c>
      <c r="AP138" t="s">
        <v>49</v>
      </c>
    </row>
    <row r="139" spans="1:42" x14ac:dyDescent="0.3">
      <c r="A139" t="s">
        <v>11</v>
      </c>
      <c r="B139" t="s">
        <v>42</v>
      </c>
      <c r="C139" t="s">
        <v>145</v>
      </c>
      <c r="D139" t="s">
        <v>197</v>
      </c>
      <c r="E139" t="s">
        <v>515</v>
      </c>
      <c r="F139" t="s">
        <v>9</v>
      </c>
      <c r="G139" t="s">
        <v>482</v>
      </c>
      <c r="H139" t="s">
        <v>694</v>
      </c>
      <c r="I139" t="s">
        <v>33</v>
      </c>
      <c r="J139" t="s">
        <v>42</v>
      </c>
      <c r="K139" t="s">
        <v>3</v>
      </c>
      <c r="L139" t="s">
        <v>9</v>
      </c>
      <c r="M139" t="s">
        <v>214</v>
      </c>
      <c r="N139" t="s">
        <v>24</v>
      </c>
      <c r="O139" t="s">
        <v>14</v>
      </c>
      <c r="P139" t="s">
        <v>104</v>
      </c>
      <c r="Q139" t="s">
        <v>24</v>
      </c>
      <c r="R139" t="s">
        <v>172</v>
      </c>
      <c r="S139" t="s">
        <v>15</v>
      </c>
      <c r="T139" t="s">
        <v>366</v>
      </c>
      <c r="U139" t="s">
        <v>646</v>
      </c>
      <c r="V139" t="s">
        <v>604</v>
      </c>
      <c r="W139" t="s">
        <v>14</v>
      </c>
      <c r="X139" t="s">
        <v>360</v>
      </c>
      <c r="Y139" t="s">
        <v>469</v>
      </c>
      <c r="Z139" t="s">
        <v>14</v>
      </c>
      <c r="AA139" t="s">
        <v>33</v>
      </c>
      <c r="AB139" t="s">
        <v>28</v>
      </c>
      <c r="AC139" t="s">
        <v>1383</v>
      </c>
      <c r="AD139" t="s">
        <v>187</v>
      </c>
      <c r="AE139" t="s">
        <v>1173</v>
      </c>
      <c r="AF139" t="s">
        <v>1384</v>
      </c>
      <c r="AG139" t="s">
        <v>342</v>
      </c>
      <c r="AH139" t="s">
        <v>310</v>
      </c>
      <c r="AI139" t="s">
        <v>1385</v>
      </c>
      <c r="AJ139" t="s">
        <v>240</v>
      </c>
      <c r="AK139" t="s">
        <v>24</v>
      </c>
      <c r="AL139" t="s">
        <v>346</v>
      </c>
      <c r="AM139" t="s">
        <v>3</v>
      </c>
      <c r="AN139" t="s">
        <v>132</v>
      </c>
      <c r="AO139" t="s">
        <v>103</v>
      </c>
      <c r="AP139" t="s">
        <v>49</v>
      </c>
    </row>
    <row r="140" spans="1:42" x14ac:dyDescent="0.3">
      <c r="A140" t="s">
        <v>16</v>
      </c>
      <c r="B140" t="s">
        <v>28</v>
      </c>
      <c r="C140" t="s">
        <v>135</v>
      </c>
      <c r="D140" t="s">
        <v>227</v>
      </c>
      <c r="E140" t="s">
        <v>249</v>
      </c>
      <c r="F140" t="s">
        <v>3</v>
      </c>
      <c r="G140" t="s">
        <v>1386</v>
      </c>
      <c r="H140" t="s">
        <v>188</v>
      </c>
      <c r="I140" t="s">
        <v>42</v>
      </c>
      <c r="J140" t="s">
        <v>109</v>
      </c>
      <c r="K140" t="s">
        <v>27</v>
      </c>
      <c r="L140" t="s">
        <v>3</v>
      </c>
      <c r="M140" t="s">
        <v>486</v>
      </c>
      <c r="N140" t="s">
        <v>27</v>
      </c>
      <c r="O140" t="s">
        <v>9</v>
      </c>
      <c r="P140" t="s">
        <v>112</v>
      </c>
      <c r="Q140" t="s">
        <v>24</v>
      </c>
      <c r="R140" t="s">
        <v>172</v>
      </c>
      <c r="S140" t="s">
        <v>15</v>
      </c>
      <c r="T140" t="s">
        <v>1219</v>
      </c>
      <c r="U140" t="s">
        <v>806</v>
      </c>
      <c r="V140" t="s">
        <v>814</v>
      </c>
      <c r="W140" t="s">
        <v>146</v>
      </c>
      <c r="X140" t="s">
        <v>1387</v>
      </c>
      <c r="Y140" t="s">
        <v>432</v>
      </c>
      <c r="Z140" t="s">
        <v>15</v>
      </c>
      <c r="AA140" t="s">
        <v>27</v>
      </c>
      <c r="AB140" t="s">
        <v>27</v>
      </c>
      <c r="AC140" t="s">
        <v>1388</v>
      </c>
      <c r="AD140" t="s">
        <v>200</v>
      </c>
      <c r="AE140" t="s">
        <v>1389</v>
      </c>
      <c r="AF140" t="s">
        <v>1390</v>
      </c>
      <c r="AG140" t="s">
        <v>1391</v>
      </c>
      <c r="AH140" t="s">
        <v>709</v>
      </c>
      <c r="AI140" t="s">
        <v>1392</v>
      </c>
      <c r="AJ140" t="s">
        <v>125</v>
      </c>
      <c r="AK140" t="s">
        <v>109</v>
      </c>
      <c r="AL140" t="s">
        <v>1242</v>
      </c>
      <c r="AM140" t="s">
        <v>15</v>
      </c>
      <c r="AN140" t="s">
        <v>197</v>
      </c>
      <c r="AO140" t="s">
        <v>124</v>
      </c>
      <c r="AP140" t="s">
        <v>49</v>
      </c>
    </row>
    <row r="141" spans="1:42" x14ac:dyDescent="0.3">
      <c r="A141" t="s">
        <v>46</v>
      </c>
      <c r="B141" t="s">
        <v>27</v>
      </c>
      <c r="C141" t="s">
        <v>108</v>
      </c>
      <c r="D141" t="s">
        <v>264</v>
      </c>
      <c r="E141" t="s">
        <v>166</v>
      </c>
      <c r="F141" t="s">
        <v>14</v>
      </c>
      <c r="G141" t="s">
        <v>482</v>
      </c>
      <c r="H141" t="s">
        <v>649</v>
      </c>
      <c r="I141" t="s">
        <v>42</v>
      </c>
      <c r="J141" t="s">
        <v>27</v>
      </c>
      <c r="K141" t="s">
        <v>3</v>
      </c>
      <c r="L141" t="s">
        <v>15</v>
      </c>
      <c r="M141" t="s">
        <v>269</v>
      </c>
      <c r="N141" t="s">
        <v>109</v>
      </c>
      <c r="O141" t="s">
        <v>14</v>
      </c>
      <c r="P141" t="s">
        <v>1186</v>
      </c>
      <c r="Q141" t="s">
        <v>33</v>
      </c>
      <c r="R141" t="s">
        <v>105</v>
      </c>
      <c r="S141" t="s">
        <v>15</v>
      </c>
      <c r="T141" t="s">
        <v>719</v>
      </c>
      <c r="U141" t="s">
        <v>658</v>
      </c>
      <c r="V141" t="s">
        <v>823</v>
      </c>
      <c r="W141" t="s">
        <v>27</v>
      </c>
      <c r="X141" t="s">
        <v>1006</v>
      </c>
      <c r="Y141" t="s">
        <v>1393</v>
      </c>
      <c r="Z141" t="s">
        <v>24</v>
      </c>
      <c r="AA141" t="s">
        <v>14</v>
      </c>
      <c r="AB141" t="s">
        <v>14</v>
      </c>
      <c r="AC141" t="s">
        <v>1394</v>
      </c>
      <c r="AD141" t="s">
        <v>356</v>
      </c>
      <c r="AE141" t="s">
        <v>1395</v>
      </c>
      <c r="AF141" t="s">
        <v>1396</v>
      </c>
      <c r="AG141" t="s">
        <v>456</v>
      </c>
      <c r="AH141" t="s">
        <v>694</v>
      </c>
      <c r="AI141" t="s">
        <v>1397</v>
      </c>
      <c r="AJ141" t="s">
        <v>252</v>
      </c>
      <c r="AK141" t="s">
        <v>34</v>
      </c>
      <c r="AL141" t="s">
        <v>1055</v>
      </c>
      <c r="AM141" t="s">
        <v>15</v>
      </c>
      <c r="AN141" t="s">
        <v>237</v>
      </c>
      <c r="AO141" t="s">
        <v>124</v>
      </c>
      <c r="AP141" t="s">
        <v>49</v>
      </c>
    </row>
    <row r="142" spans="1:42" x14ac:dyDescent="0.3">
      <c r="A142" t="s">
        <v>26</v>
      </c>
      <c r="B142" t="s">
        <v>114</v>
      </c>
      <c r="C142" t="s">
        <v>28</v>
      </c>
      <c r="D142" t="s">
        <v>313</v>
      </c>
      <c r="E142" t="s">
        <v>110</v>
      </c>
      <c r="F142" t="s">
        <v>3</v>
      </c>
      <c r="G142" t="s">
        <v>1398</v>
      </c>
      <c r="H142" t="s">
        <v>271</v>
      </c>
      <c r="I142" t="s">
        <v>164</v>
      </c>
      <c r="J142" t="s">
        <v>146</v>
      </c>
      <c r="K142" t="s">
        <v>28</v>
      </c>
      <c r="L142" t="s">
        <v>24</v>
      </c>
      <c r="M142" t="s">
        <v>527</v>
      </c>
      <c r="N142" t="s">
        <v>113</v>
      </c>
      <c r="O142" t="s">
        <v>24</v>
      </c>
      <c r="P142" t="s">
        <v>166</v>
      </c>
      <c r="Q142" t="s">
        <v>113</v>
      </c>
      <c r="R142" t="s">
        <v>124</v>
      </c>
      <c r="S142" t="s">
        <v>180</v>
      </c>
      <c r="T142" t="s">
        <v>345</v>
      </c>
      <c r="U142" t="s">
        <v>424</v>
      </c>
      <c r="V142" t="s">
        <v>1399</v>
      </c>
      <c r="W142" t="s">
        <v>34</v>
      </c>
      <c r="X142" t="s">
        <v>583</v>
      </c>
      <c r="Y142" t="s">
        <v>551</v>
      </c>
      <c r="Z142" t="s">
        <v>9</v>
      </c>
      <c r="AA142" t="s">
        <v>3</v>
      </c>
      <c r="AB142" t="s">
        <v>3</v>
      </c>
      <c r="AC142" t="s">
        <v>1400</v>
      </c>
      <c r="AD142" t="s">
        <v>153</v>
      </c>
      <c r="AE142" t="s">
        <v>1401</v>
      </c>
      <c r="AF142" t="s">
        <v>1402</v>
      </c>
      <c r="AG142" t="s">
        <v>506</v>
      </c>
      <c r="AH142" t="s">
        <v>1403</v>
      </c>
      <c r="AI142" t="s">
        <v>1404</v>
      </c>
      <c r="AJ142" t="s">
        <v>166</v>
      </c>
      <c r="AK142" t="s">
        <v>15</v>
      </c>
      <c r="AL142" t="s">
        <v>1138</v>
      </c>
      <c r="AM142" t="s">
        <v>15</v>
      </c>
      <c r="AN142" t="s">
        <v>127</v>
      </c>
      <c r="AO142" t="s">
        <v>336</v>
      </c>
      <c r="AP142" t="s">
        <v>51</v>
      </c>
    </row>
    <row r="143" spans="1:42" x14ac:dyDescent="0.3">
      <c r="A143" t="s">
        <v>2</v>
      </c>
      <c r="B143" t="s">
        <v>302</v>
      </c>
      <c r="C143" t="s">
        <v>28</v>
      </c>
      <c r="D143" t="s">
        <v>203</v>
      </c>
      <c r="E143" t="s">
        <v>187</v>
      </c>
      <c r="F143" t="s">
        <v>3</v>
      </c>
      <c r="G143" t="s">
        <v>1405</v>
      </c>
      <c r="H143" t="s">
        <v>122</v>
      </c>
      <c r="I143" t="s">
        <v>114</v>
      </c>
      <c r="J143" t="s">
        <v>131</v>
      </c>
      <c r="K143" t="s">
        <v>146</v>
      </c>
      <c r="L143" t="s">
        <v>28</v>
      </c>
      <c r="M143" t="s">
        <v>324</v>
      </c>
      <c r="N143" t="s">
        <v>164</v>
      </c>
      <c r="O143" t="s">
        <v>42</v>
      </c>
      <c r="P143" t="s">
        <v>278</v>
      </c>
      <c r="Q143" t="s">
        <v>146</v>
      </c>
      <c r="R143" t="s">
        <v>356</v>
      </c>
      <c r="S143" t="s">
        <v>963</v>
      </c>
      <c r="T143" t="s">
        <v>134</v>
      </c>
      <c r="U143" t="s">
        <v>238</v>
      </c>
      <c r="V143" t="s">
        <v>484</v>
      </c>
      <c r="W143" t="s">
        <v>14</v>
      </c>
      <c r="X143" t="s">
        <v>1406</v>
      </c>
      <c r="Y143" t="s">
        <v>354</v>
      </c>
      <c r="Z143" t="s">
        <v>28</v>
      </c>
      <c r="AA143" t="s">
        <v>27</v>
      </c>
      <c r="AB143" t="s">
        <v>14</v>
      </c>
      <c r="AC143" t="s">
        <v>1407</v>
      </c>
      <c r="AD143" t="s">
        <v>664</v>
      </c>
      <c r="AE143" t="s">
        <v>1408</v>
      </c>
      <c r="AF143" t="s">
        <v>1409</v>
      </c>
      <c r="AG143" t="s">
        <v>1410</v>
      </c>
      <c r="AH143" t="s">
        <v>624</v>
      </c>
      <c r="AI143" t="s">
        <v>1411</v>
      </c>
      <c r="AJ143" t="s">
        <v>127</v>
      </c>
      <c r="AK143" t="s">
        <v>24</v>
      </c>
      <c r="AL143" t="s">
        <v>1412</v>
      </c>
      <c r="AM143" t="s">
        <v>3</v>
      </c>
      <c r="AN143" t="s">
        <v>240</v>
      </c>
      <c r="AO143" t="s">
        <v>303</v>
      </c>
      <c r="AP143" t="s">
        <v>51</v>
      </c>
    </row>
    <row r="144" spans="1:42" x14ac:dyDescent="0.3">
      <c r="A144" t="s">
        <v>25</v>
      </c>
      <c r="B144" t="s">
        <v>125</v>
      </c>
      <c r="C144" t="s">
        <v>28</v>
      </c>
      <c r="D144" t="s">
        <v>433</v>
      </c>
      <c r="E144" t="s">
        <v>147</v>
      </c>
      <c r="F144" t="s">
        <v>14</v>
      </c>
      <c r="G144" t="s">
        <v>646</v>
      </c>
      <c r="H144" t="s">
        <v>442</v>
      </c>
      <c r="I144" t="s">
        <v>164</v>
      </c>
      <c r="J144" t="s">
        <v>28</v>
      </c>
      <c r="K144" t="s">
        <v>24</v>
      </c>
      <c r="L144" t="s">
        <v>9</v>
      </c>
      <c r="M144" t="s">
        <v>187</v>
      </c>
      <c r="N144" t="s">
        <v>181</v>
      </c>
      <c r="O144" t="s">
        <v>24</v>
      </c>
      <c r="P144" t="s">
        <v>1413</v>
      </c>
      <c r="Q144" t="s">
        <v>269</v>
      </c>
      <c r="R144" t="s">
        <v>114</v>
      </c>
      <c r="S144" t="s">
        <v>254</v>
      </c>
      <c r="T144" t="s">
        <v>201</v>
      </c>
      <c r="U144" t="s">
        <v>1414</v>
      </c>
      <c r="V144" t="s">
        <v>1147</v>
      </c>
      <c r="W144" t="s">
        <v>27</v>
      </c>
      <c r="X144" t="s">
        <v>1415</v>
      </c>
      <c r="Y144" t="s">
        <v>602</v>
      </c>
      <c r="Z144" t="s">
        <v>9</v>
      </c>
      <c r="AA144" t="s">
        <v>3</v>
      </c>
      <c r="AB144" t="s">
        <v>3</v>
      </c>
      <c r="AC144" t="s">
        <v>1416</v>
      </c>
      <c r="AD144" t="s">
        <v>169</v>
      </c>
      <c r="AE144" t="s">
        <v>1417</v>
      </c>
      <c r="AF144" t="s">
        <v>159</v>
      </c>
      <c r="AG144" t="s">
        <v>339</v>
      </c>
      <c r="AH144" t="s">
        <v>613</v>
      </c>
      <c r="AI144" t="s">
        <v>1418</v>
      </c>
      <c r="AJ144" t="s">
        <v>148</v>
      </c>
      <c r="AK144" t="s">
        <v>9</v>
      </c>
      <c r="AL144" t="s">
        <v>1419</v>
      </c>
      <c r="AM144" t="s">
        <v>15</v>
      </c>
      <c r="AN144" t="s">
        <v>214</v>
      </c>
      <c r="AO144" t="s">
        <v>113</v>
      </c>
      <c r="AP144" t="s">
        <v>51</v>
      </c>
    </row>
    <row r="145" spans="1:42" x14ac:dyDescent="0.3">
      <c r="A145" t="s">
        <v>5</v>
      </c>
      <c r="B145" t="s">
        <v>126</v>
      </c>
      <c r="C145" t="s">
        <v>33</v>
      </c>
      <c r="D145" t="s">
        <v>322</v>
      </c>
      <c r="E145" t="s">
        <v>169</v>
      </c>
      <c r="F145" t="s">
        <v>27</v>
      </c>
      <c r="G145" t="s">
        <v>1420</v>
      </c>
      <c r="H145" t="s">
        <v>300</v>
      </c>
      <c r="I145" t="s">
        <v>151</v>
      </c>
      <c r="J145" t="s">
        <v>109</v>
      </c>
      <c r="K145" t="s">
        <v>14</v>
      </c>
      <c r="L145" t="s">
        <v>15</v>
      </c>
      <c r="M145" t="s">
        <v>165</v>
      </c>
      <c r="N145" t="s">
        <v>24</v>
      </c>
      <c r="O145" t="s">
        <v>27</v>
      </c>
      <c r="P145" t="s">
        <v>136</v>
      </c>
      <c r="Q145" t="s">
        <v>181</v>
      </c>
      <c r="R145" t="s">
        <v>132</v>
      </c>
      <c r="S145" t="s">
        <v>459</v>
      </c>
      <c r="T145" t="s">
        <v>203</v>
      </c>
      <c r="U145" t="s">
        <v>1177</v>
      </c>
      <c r="V145" t="s">
        <v>1421</v>
      </c>
      <c r="W145" t="s">
        <v>131</v>
      </c>
      <c r="X145" t="s">
        <v>1422</v>
      </c>
      <c r="Y145" t="s">
        <v>1393</v>
      </c>
      <c r="Z145" t="s">
        <v>9</v>
      </c>
      <c r="AA145" t="s">
        <v>28</v>
      </c>
      <c r="AB145" t="s">
        <v>24</v>
      </c>
      <c r="AC145" t="s">
        <v>1423</v>
      </c>
      <c r="AD145" t="s">
        <v>266</v>
      </c>
      <c r="AE145" t="s">
        <v>1424</v>
      </c>
      <c r="AF145" t="s">
        <v>1425</v>
      </c>
      <c r="AG145" t="s">
        <v>958</v>
      </c>
      <c r="AH145" t="s">
        <v>676</v>
      </c>
      <c r="AI145" t="s">
        <v>1426</v>
      </c>
      <c r="AJ145" t="s">
        <v>356</v>
      </c>
      <c r="AK145" t="s">
        <v>14</v>
      </c>
      <c r="AL145" t="s">
        <v>1427</v>
      </c>
      <c r="AM145" t="s">
        <v>3</v>
      </c>
      <c r="AN145" t="s">
        <v>568</v>
      </c>
      <c r="AO145" t="s">
        <v>114</v>
      </c>
      <c r="AP145" t="s">
        <v>51</v>
      </c>
    </row>
    <row r="146" spans="1:42" x14ac:dyDescent="0.3">
      <c r="A146" t="s">
        <v>7</v>
      </c>
      <c r="B146" t="s">
        <v>108</v>
      </c>
      <c r="C146" t="s">
        <v>34</v>
      </c>
      <c r="D146" t="s">
        <v>345</v>
      </c>
      <c r="E146" t="s">
        <v>325</v>
      </c>
      <c r="F146" t="s">
        <v>3</v>
      </c>
      <c r="G146" t="s">
        <v>1149</v>
      </c>
      <c r="H146" t="s">
        <v>287</v>
      </c>
      <c r="I146" t="s">
        <v>131</v>
      </c>
      <c r="J146" t="s">
        <v>28</v>
      </c>
      <c r="K146" t="s">
        <v>14</v>
      </c>
      <c r="L146" t="s">
        <v>24</v>
      </c>
      <c r="M146" t="s">
        <v>268</v>
      </c>
      <c r="N146" t="s">
        <v>109</v>
      </c>
      <c r="O146" t="s">
        <v>14</v>
      </c>
      <c r="P146" t="s">
        <v>112</v>
      </c>
      <c r="Q146" t="s">
        <v>151</v>
      </c>
      <c r="R146" t="s">
        <v>486</v>
      </c>
      <c r="S146" t="s">
        <v>367</v>
      </c>
      <c r="T146" t="s">
        <v>701</v>
      </c>
      <c r="U146" t="s">
        <v>885</v>
      </c>
      <c r="V146" t="s">
        <v>368</v>
      </c>
      <c r="W146" t="s">
        <v>42</v>
      </c>
      <c r="X146" t="s">
        <v>1192</v>
      </c>
      <c r="Y146" t="s">
        <v>1428</v>
      </c>
      <c r="Z146" t="s">
        <v>27</v>
      </c>
      <c r="AA146" t="s">
        <v>28</v>
      </c>
      <c r="AB146" t="s">
        <v>14</v>
      </c>
      <c r="AC146" t="s">
        <v>1429</v>
      </c>
      <c r="AD146" t="s">
        <v>268</v>
      </c>
      <c r="AE146" t="s">
        <v>1430</v>
      </c>
      <c r="AF146" t="s">
        <v>1431</v>
      </c>
      <c r="AG146" t="s">
        <v>484</v>
      </c>
      <c r="AH146" t="s">
        <v>1432</v>
      </c>
      <c r="AI146" t="s">
        <v>1433</v>
      </c>
      <c r="AJ146" t="s">
        <v>103</v>
      </c>
      <c r="AK146" t="s">
        <v>9</v>
      </c>
      <c r="AL146" t="s">
        <v>970</v>
      </c>
      <c r="AM146" t="s">
        <v>9</v>
      </c>
      <c r="AN146" t="s">
        <v>166</v>
      </c>
      <c r="AO146" t="s">
        <v>131</v>
      </c>
      <c r="AP146" t="s">
        <v>51</v>
      </c>
    </row>
    <row r="147" spans="1:42" x14ac:dyDescent="0.3">
      <c r="A147" t="s">
        <v>21</v>
      </c>
      <c r="B147" t="s">
        <v>108</v>
      </c>
      <c r="C147" t="s">
        <v>111</v>
      </c>
      <c r="D147" t="s">
        <v>325</v>
      </c>
      <c r="E147" t="s">
        <v>515</v>
      </c>
      <c r="F147" t="s">
        <v>27</v>
      </c>
      <c r="G147" t="s">
        <v>1434</v>
      </c>
      <c r="H147" t="s">
        <v>630</v>
      </c>
      <c r="I147" t="s">
        <v>109</v>
      </c>
      <c r="J147" t="s">
        <v>28</v>
      </c>
      <c r="K147" t="s">
        <v>24</v>
      </c>
      <c r="L147" t="s">
        <v>9</v>
      </c>
      <c r="M147" t="s">
        <v>249</v>
      </c>
      <c r="N147" t="s">
        <v>146</v>
      </c>
      <c r="O147" t="s">
        <v>27</v>
      </c>
      <c r="P147" t="s">
        <v>127</v>
      </c>
      <c r="Q147" t="s">
        <v>131</v>
      </c>
      <c r="R147" t="s">
        <v>163</v>
      </c>
      <c r="S147" t="s">
        <v>1413</v>
      </c>
      <c r="T147" t="s">
        <v>115</v>
      </c>
      <c r="U147" t="s">
        <v>806</v>
      </c>
      <c r="V147" t="s">
        <v>354</v>
      </c>
      <c r="W147" t="s">
        <v>27</v>
      </c>
      <c r="X147" t="s">
        <v>1435</v>
      </c>
      <c r="Y147" t="s">
        <v>618</v>
      </c>
      <c r="Z147" t="s">
        <v>14</v>
      </c>
      <c r="AA147" t="s">
        <v>24</v>
      </c>
      <c r="AB147" t="s">
        <v>14</v>
      </c>
      <c r="AC147" t="s">
        <v>1436</v>
      </c>
      <c r="AD147" t="s">
        <v>132</v>
      </c>
      <c r="AE147" t="s">
        <v>620</v>
      </c>
      <c r="AF147" t="s">
        <v>1437</v>
      </c>
      <c r="AG147" t="s">
        <v>286</v>
      </c>
      <c r="AH147" t="s">
        <v>599</v>
      </c>
      <c r="AI147" t="s">
        <v>1438</v>
      </c>
      <c r="AJ147" t="s">
        <v>127</v>
      </c>
      <c r="AK147" t="s">
        <v>14</v>
      </c>
      <c r="AL147" t="s">
        <v>1075</v>
      </c>
      <c r="AM147" t="s">
        <v>3</v>
      </c>
      <c r="AN147" t="s">
        <v>132</v>
      </c>
      <c r="AO147" t="s">
        <v>200</v>
      </c>
      <c r="AP147" t="s">
        <v>51</v>
      </c>
    </row>
    <row r="148" spans="1:42" x14ac:dyDescent="0.3">
      <c r="A148" t="s">
        <v>22</v>
      </c>
      <c r="B148" t="s">
        <v>164</v>
      </c>
      <c r="C148" t="s">
        <v>109</v>
      </c>
      <c r="D148" t="s">
        <v>127</v>
      </c>
      <c r="E148" t="s">
        <v>515</v>
      </c>
      <c r="F148" t="s">
        <v>14</v>
      </c>
      <c r="G148" t="s">
        <v>848</v>
      </c>
      <c r="H148" t="s">
        <v>512</v>
      </c>
      <c r="I148" t="s">
        <v>113</v>
      </c>
      <c r="J148" t="s">
        <v>146</v>
      </c>
      <c r="K148" t="s">
        <v>24</v>
      </c>
      <c r="L148" t="s">
        <v>24</v>
      </c>
      <c r="M148" t="s">
        <v>169</v>
      </c>
      <c r="N148" t="s">
        <v>111</v>
      </c>
      <c r="O148" t="s">
        <v>3</v>
      </c>
      <c r="P148" t="s">
        <v>1089</v>
      </c>
      <c r="Q148" t="s">
        <v>185</v>
      </c>
      <c r="R148" t="s">
        <v>227</v>
      </c>
      <c r="S148" t="s">
        <v>471</v>
      </c>
      <c r="T148" t="s">
        <v>1186</v>
      </c>
      <c r="U148" t="s">
        <v>1439</v>
      </c>
      <c r="V148" t="s">
        <v>1351</v>
      </c>
      <c r="W148" t="s">
        <v>27</v>
      </c>
      <c r="X148" t="s">
        <v>1023</v>
      </c>
      <c r="Y148" t="s">
        <v>1440</v>
      </c>
      <c r="Z148" t="s">
        <v>3</v>
      </c>
      <c r="AA148" t="s">
        <v>27</v>
      </c>
      <c r="AB148" t="s">
        <v>14</v>
      </c>
      <c r="AC148" t="s">
        <v>1441</v>
      </c>
      <c r="AD148" t="s">
        <v>345</v>
      </c>
      <c r="AE148" t="s">
        <v>1442</v>
      </c>
      <c r="AF148" t="s">
        <v>1443</v>
      </c>
      <c r="AG148" t="s">
        <v>1444</v>
      </c>
      <c r="AH148" t="s">
        <v>130</v>
      </c>
      <c r="AI148" t="s">
        <v>1445</v>
      </c>
      <c r="AJ148" t="s">
        <v>200</v>
      </c>
      <c r="AK148" t="s">
        <v>3</v>
      </c>
      <c r="AL148" t="s">
        <v>766</v>
      </c>
      <c r="AM148" t="s">
        <v>15</v>
      </c>
      <c r="AN148" t="s">
        <v>252</v>
      </c>
      <c r="AO148" t="s">
        <v>131</v>
      </c>
      <c r="AP148" t="s">
        <v>51</v>
      </c>
    </row>
    <row r="149" spans="1:42" x14ac:dyDescent="0.3">
      <c r="A149" t="s">
        <v>10</v>
      </c>
      <c r="B149" t="s">
        <v>151</v>
      </c>
      <c r="C149" t="s">
        <v>164</v>
      </c>
      <c r="D149" t="s">
        <v>227</v>
      </c>
      <c r="E149" t="s">
        <v>169</v>
      </c>
      <c r="F149" t="s">
        <v>28</v>
      </c>
      <c r="G149" t="s">
        <v>611</v>
      </c>
      <c r="H149" t="s">
        <v>435</v>
      </c>
      <c r="I149" t="s">
        <v>131</v>
      </c>
      <c r="J149" t="s">
        <v>34</v>
      </c>
      <c r="K149" t="s">
        <v>9</v>
      </c>
      <c r="L149" t="s">
        <v>3</v>
      </c>
      <c r="M149" t="s">
        <v>171</v>
      </c>
      <c r="N149" t="s">
        <v>34</v>
      </c>
      <c r="O149" t="s">
        <v>14</v>
      </c>
      <c r="P149" t="s">
        <v>278</v>
      </c>
      <c r="Q149" t="s">
        <v>146</v>
      </c>
      <c r="R149" t="s">
        <v>166</v>
      </c>
      <c r="S149" t="s">
        <v>1186</v>
      </c>
      <c r="T149" t="s">
        <v>203</v>
      </c>
      <c r="U149" t="s">
        <v>711</v>
      </c>
      <c r="V149" t="s">
        <v>623</v>
      </c>
      <c r="W149" t="s">
        <v>151</v>
      </c>
      <c r="X149" t="s">
        <v>1446</v>
      </c>
      <c r="Y149" t="s">
        <v>1447</v>
      </c>
      <c r="Z149" t="s">
        <v>3</v>
      </c>
      <c r="AA149" t="s">
        <v>24</v>
      </c>
      <c r="AB149" t="s">
        <v>24</v>
      </c>
      <c r="AC149" t="s">
        <v>1448</v>
      </c>
      <c r="AD149" t="s">
        <v>915</v>
      </c>
      <c r="AE149" t="s">
        <v>1449</v>
      </c>
      <c r="AF149" t="s">
        <v>1450</v>
      </c>
      <c r="AG149" t="s">
        <v>1451</v>
      </c>
      <c r="AH149" t="s">
        <v>702</v>
      </c>
      <c r="AI149" t="s">
        <v>1452</v>
      </c>
      <c r="AJ149" t="s">
        <v>249</v>
      </c>
      <c r="AK149" t="s">
        <v>27</v>
      </c>
      <c r="AL149" t="s">
        <v>1055</v>
      </c>
      <c r="AM149" t="s">
        <v>15</v>
      </c>
      <c r="AN149" t="s">
        <v>163</v>
      </c>
      <c r="AO149" t="s">
        <v>108</v>
      </c>
      <c r="AP149" t="s">
        <v>51</v>
      </c>
    </row>
    <row r="150" spans="1:42" x14ac:dyDescent="0.3">
      <c r="A150" t="s">
        <v>50</v>
      </c>
      <c r="B150" t="s">
        <v>151</v>
      </c>
      <c r="C150" t="s">
        <v>109</v>
      </c>
      <c r="D150" t="s">
        <v>187</v>
      </c>
      <c r="E150" t="s">
        <v>105</v>
      </c>
      <c r="F150" t="s">
        <v>15</v>
      </c>
      <c r="G150" t="s">
        <v>518</v>
      </c>
      <c r="H150" t="s">
        <v>1106</v>
      </c>
      <c r="I150" t="s">
        <v>113</v>
      </c>
      <c r="J150" t="s">
        <v>146</v>
      </c>
      <c r="K150" t="s">
        <v>14</v>
      </c>
      <c r="L150" t="s">
        <v>9</v>
      </c>
      <c r="M150" t="s">
        <v>152</v>
      </c>
      <c r="N150" t="s">
        <v>34</v>
      </c>
      <c r="O150" t="s">
        <v>9</v>
      </c>
      <c r="P150" t="s">
        <v>1089</v>
      </c>
      <c r="Q150" t="s">
        <v>151</v>
      </c>
      <c r="R150" t="s">
        <v>152</v>
      </c>
      <c r="S150" t="s">
        <v>279</v>
      </c>
      <c r="T150" t="s">
        <v>515</v>
      </c>
      <c r="U150" t="s">
        <v>532</v>
      </c>
      <c r="V150" t="s">
        <v>849</v>
      </c>
      <c r="W150" t="s">
        <v>28</v>
      </c>
      <c r="X150" t="s">
        <v>1453</v>
      </c>
      <c r="Y150" t="s">
        <v>167</v>
      </c>
      <c r="Z150" t="s">
        <v>3</v>
      </c>
      <c r="AA150" t="s">
        <v>14</v>
      </c>
      <c r="AB150" t="s">
        <v>14</v>
      </c>
      <c r="AC150" t="s">
        <v>1454</v>
      </c>
      <c r="AD150" t="s">
        <v>112</v>
      </c>
      <c r="AE150" t="s">
        <v>1455</v>
      </c>
      <c r="AF150" t="s">
        <v>1456</v>
      </c>
      <c r="AG150" t="s">
        <v>430</v>
      </c>
      <c r="AH150" t="s">
        <v>676</v>
      </c>
      <c r="AI150" t="s">
        <v>1457</v>
      </c>
      <c r="AJ150" t="s">
        <v>124</v>
      </c>
      <c r="AK150" t="s">
        <v>3</v>
      </c>
      <c r="AL150" t="s">
        <v>945</v>
      </c>
      <c r="AM150" t="s">
        <v>15</v>
      </c>
      <c r="AN150" t="s">
        <v>356</v>
      </c>
      <c r="AO150" t="s">
        <v>269</v>
      </c>
      <c r="AP150" t="s">
        <v>51</v>
      </c>
    </row>
    <row r="151" spans="1:42" x14ac:dyDescent="0.3">
      <c r="A151" t="s">
        <v>53</v>
      </c>
      <c r="B151" t="s">
        <v>185</v>
      </c>
      <c r="C151" t="s">
        <v>164</v>
      </c>
      <c r="D151" t="s">
        <v>423</v>
      </c>
      <c r="E151" t="s">
        <v>635</v>
      </c>
      <c r="F151" t="s">
        <v>9</v>
      </c>
      <c r="G151" t="s">
        <v>569</v>
      </c>
      <c r="H151" t="s">
        <v>470</v>
      </c>
      <c r="I151" t="s">
        <v>42</v>
      </c>
      <c r="J151" t="s">
        <v>28</v>
      </c>
      <c r="K151" t="s">
        <v>24</v>
      </c>
      <c r="L151" t="s">
        <v>3</v>
      </c>
      <c r="M151" t="s">
        <v>103</v>
      </c>
      <c r="N151" t="s">
        <v>24</v>
      </c>
      <c r="O151" t="s">
        <v>9</v>
      </c>
      <c r="P151" t="s">
        <v>433</v>
      </c>
      <c r="Q151" t="s">
        <v>109</v>
      </c>
      <c r="R151" t="s">
        <v>182</v>
      </c>
      <c r="S151" t="s">
        <v>270</v>
      </c>
      <c r="T151" t="s">
        <v>436</v>
      </c>
      <c r="U151" t="s">
        <v>479</v>
      </c>
      <c r="V151" t="s">
        <v>1458</v>
      </c>
      <c r="W151" t="s">
        <v>33</v>
      </c>
      <c r="X151" t="s">
        <v>1459</v>
      </c>
      <c r="Y151" t="s">
        <v>756</v>
      </c>
      <c r="Z151" t="s">
        <v>9</v>
      </c>
      <c r="AA151" t="s">
        <v>28</v>
      </c>
      <c r="AB151" t="s">
        <v>28</v>
      </c>
      <c r="AC151" t="s">
        <v>881</v>
      </c>
      <c r="AD151" t="s">
        <v>164</v>
      </c>
      <c r="AE151" t="s">
        <v>1460</v>
      </c>
      <c r="AF151" t="s">
        <v>1461</v>
      </c>
      <c r="AG151" t="s">
        <v>1462</v>
      </c>
      <c r="AH151" t="s">
        <v>764</v>
      </c>
      <c r="AI151" t="s">
        <v>1463</v>
      </c>
      <c r="AJ151" t="s">
        <v>336</v>
      </c>
      <c r="AK151" t="s">
        <v>27</v>
      </c>
      <c r="AL151" t="s">
        <v>314</v>
      </c>
      <c r="AM151" t="s">
        <v>15</v>
      </c>
      <c r="AN151" t="s">
        <v>115</v>
      </c>
      <c r="AO151" t="s">
        <v>34</v>
      </c>
      <c r="AP151" t="s">
        <v>51</v>
      </c>
    </row>
    <row r="152" spans="1:42" x14ac:dyDescent="0.3">
      <c r="A152" t="s">
        <v>37</v>
      </c>
      <c r="B152" t="s">
        <v>185</v>
      </c>
      <c r="C152" t="s">
        <v>131</v>
      </c>
      <c r="D152" t="s">
        <v>249</v>
      </c>
      <c r="E152" t="s">
        <v>110</v>
      </c>
      <c r="F152" t="s">
        <v>24</v>
      </c>
      <c r="G152" t="s">
        <v>1464</v>
      </c>
      <c r="H152" t="s">
        <v>502</v>
      </c>
      <c r="I152" t="s">
        <v>131</v>
      </c>
      <c r="J152" t="s">
        <v>9</v>
      </c>
      <c r="K152" t="s">
        <v>27</v>
      </c>
      <c r="L152" t="s">
        <v>9</v>
      </c>
      <c r="M152" t="s">
        <v>336</v>
      </c>
      <c r="N152" t="s">
        <v>131</v>
      </c>
      <c r="O152" t="s">
        <v>14</v>
      </c>
      <c r="P152" t="s">
        <v>115</v>
      </c>
      <c r="Q152" t="s">
        <v>42</v>
      </c>
      <c r="R152" t="s">
        <v>202</v>
      </c>
      <c r="S152" t="s">
        <v>134</v>
      </c>
      <c r="T152" t="s">
        <v>239</v>
      </c>
      <c r="U152" t="s">
        <v>335</v>
      </c>
      <c r="V152" t="s">
        <v>1020</v>
      </c>
      <c r="W152" t="s">
        <v>24</v>
      </c>
      <c r="X152" t="s">
        <v>1465</v>
      </c>
      <c r="Y152" t="s">
        <v>1466</v>
      </c>
      <c r="Z152" t="s">
        <v>3</v>
      </c>
      <c r="AA152" t="s">
        <v>33</v>
      </c>
      <c r="AB152" t="s">
        <v>24</v>
      </c>
      <c r="AC152" t="s">
        <v>1467</v>
      </c>
      <c r="AD152" t="s">
        <v>421</v>
      </c>
      <c r="AE152" t="s">
        <v>1030</v>
      </c>
      <c r="AF152" t="s">
        <v>1468</v>
      </c>
      <c r="AG152" t="s">
        <v>1273</v>
      </c>
      <c r="AH152" t="s">
        <v>942</v>
      </c>
      <c r="AI152" t="s">
        <v>1469</v>
      </c>
      <c r="AJ152" t="s">
        <v>240</v>
      </c>
      <c r="AK152" t="s">
        <v>9</v>
      </c>
      <c r="AL152" t="s">
        <v>580</v>
      </c>
      <c r="AM152" t="s">
        <v>9</v>
      </c>
      <c r="AN152" t="s">
        <v>198</v>
      </c>
      <c r="AO152" t="s">
        <v>181</v>
      </c>
      <c r="AP152" t="s">
        <v>51</v>
      </c>
    </row>
    <row r="153" spans="1:42" x14ac:dyDescent="0.3">
      <c r="A153" t="s">
        <v>48</v>
      </c>
      <c r="B153" t="s">
        <v>111</v>
      </c>
      <c r="C153" t="s">
        <v>269</v>
      </c>
      <c r="D153" t="s">
        <v>187</v>
      </c>
      <c r="E153" t="s">
        <v>325</v>
      </c>
      <c r="F153" t="s">
        <v>14</v>
      </c>
      <c r="G153" t="s">
        <v>424</v>
      </c>
      <c r="H153" t="s">
        <v>876</v>
      </c>
      <c r="I153" t="s">
        <v>33</v>
      </c>
      <c r="J153" t="s">
        <v>42</v>
      </c>
      <c r="K153" t="s">
        <v>27</v>
      </c>
      <c r="L153" t="s">
        <v>15</v>
      </c>
      <c r="M153" t="s">
        <v>249</v>
      </c>
      <c r="N153" t="s">
        <v>42</v>
      </c>
      <c r="O153" t="s">
        <v>15</v>
      </c>
      <c r="P153" t="s">
        <v>558</v>
      </c>
      <c r="Q153" t="s">
        <v>34</v>
      </c>
      <c r="R153" t="s">
        <v>187</v>
      </c>
      <c r="S153" t="s">
        <v>254</v>
      </c>
      <c r="T153" t="s">
        <v>367</v>
      </c>
      <c r="U153" t="s">
        <v>1178</v>
      </c>
      <c r="V153" t="s">
        <v>953</v>
      </c>
      <c r="W153" t="s">
        <v>33</v>
      </c>
      <c r="X153" t="s">
        <v>810</v>
      </c>
      <c r="Y153" t="s">
        <v>703</v>
      </c>
      <c r="Z153" t="s">
        <v>3</v>
      </c>
      <c r="AA153" t="s">
        <v>27</v>
      </c>
      <c r="AB153" t="s">
        <v>27</v>
      </c>
      <c r="AC153" t="s">
        <v>1470</v>
      </c>
      <c r="AD153" t="s">
        <v>268</v>
      </c>
      <c r="AE153" t="s">
        <v>762</v>
      </c>
      <c r="AF153" t="s">
        <v>1471</v>
      </c>
      <c r="AG153" t="s">
        <v>1472</v>
      </c>
      <c r="AH153" t="s">
        <v>168</v>
      </c>
      <c r="AI153" t="s">
        <v>1473</v>
      </c>
      <c r="AJ153" t="s">
        <v>145</v>
      </c>
      <c r="AK153" t="s">
        <v>28</v>
      </c>
      <c r="AL153" t="s">
        <v>1474</v>
      </c>
      <c r="AM153" t="s">
        <v>15</v>
      </c>
      <c r="AN153" t="s">
        <v>249</v>
      </c>
      <c r="AO153" t="s">
        <v>145</v>
      </c>
      <c r="AP153" t="s">
        <v>51</v>
      </c>
    </row>
    <row r="154" spans="1:42" x14ac:dyDescent="0.3">
      <c r="A154" t="s">
        <v>18</v>
      </c>
      <c r="B154" t="s">
        <v>111</v>
      </c>
      <c r="C154" t="s">
        <v>145</v>
      </c>
      <c r="D154" t="s">
        <v>421</v>
      </c>
      <c r="E154" t="s">
        <v>128</v>
      </c>
      <c r="F154" t="s">
        <v>24</v>
      </c>
      <c r="G154" t="s">
        <v>1475</v>
      </c>
      <c r="H154" t="s">
        <v>326</v>
      </c>
      <c r="I154" t="s">
        <v>111</v>
      </c>
      <c r="J154" t="s">
        <v>24</v>
      </c>
      <c r="K154" t="s">
        <v>9</v>
      </c>
      <c r="L154" t="s">
        <v>3</v>
      </c>
      <c r="M154" t="s">
        <v>240</v>
      </c>
      <c r="N154" t="s">
        <v>27</v>
      </c>
      <c r="O154" t="s">
        <v>9</v>
      </c>
      <c r="P154" t="s">
        <v>558</v>
      </c>
      <c r="Q154" t="s">
        <v>131</v>
      </c>
      <c r="R154" t="s">
        <v>163</v>
      </c>
      <c r="S154" t="s">
        <v>472</v>
      </c>
      <c r="T154" t="s">
        <v>389</v>
      </c>
      <c r="U154" t="s">
        <v>199</v>
      </c>
      <c r="V154" t="s">
        <v>1405</v>
      </c>
      <c r="W154" t="s">
        <v>109</v>
      </c>
      <c r="X154" t="s">
        <v>1476</v>
      </c>
      <c r="Y154" t="s">
        <v>1044</v>
      </c>
      <c r="Z154" t="s">
        <v>3</v>
      </c>
      <c r="AA154" t="s">
        <v>28</v>
      </c>
      <c r="AB154" t="s">
        <v>28</v>
      </c>
      <c r="AC154" t="s">
        <v>1477</v>
      </c>
      <c r="AD154" t="s">
        <v>291</v>
      </c>
      <c r="AE154" t="s">
        <v>1478</v>
      </c>
      <c r="AF154" t="s">
        <v>1479</v>
      </c>
      <c r="AG154" t="s">
        <v>1296</v>
      </c>
      <c r="AH154" t="s">
        <v>458</v>
      </c>
      <c r="AI154" t="s">
        <v>1480</v>
      </c>
      <c r="AJ154" t="s">
        <v>423</v>
      </c>
      <c r="AK154" t="s">
        <v>34</v>
      </c>
      <c r="AL154" t="s">
        <v>1481</v>
      </c>
      <c r="AM154" t="s">
        <v>15</v>
      </c>
      <c r="AN154" t="s">
        <v>187</v>
      </c>
      <c r="AO154" t="s">
        <v>42</v>
      </c>
      <c r="AP154" t="s">
        <v>51</v>
      </c>
    </row>
    <row r="155" spans="1:42" x14ac:dyDescent="0.3">
      <c r="A155" t="s">
        <v>6</v>
      </c>
      <c r="B155" t="s">
        <v>146</v>
      </c>
      <c r="C155" t="s">
        <v>145</v>
      </c>
      <c r="D155" t="s">
        <v>486</v>
      </c>
      <c r="E155" t="s">
        <v>278</v>
      </c>
      <c r="F155" t="s">
        <v>15</v>
      </c>
      <c r="G155" t="s">
        <v>1482</v>
      </c>
      <c r="H155" t="s">
        <v>366</v>
      </c>
      <c r="I155" t="s">
        <v>111</v>
      </c>
      <c r="J155" t="s">
        <v>146</v>
      </c>
      <c r="K155" t="s">
        <v>9</v>
      </c>
      <c r="L155" t="s">
        <v>14</v>
      </c>
      <c r="M155" t="s">
        <v>423</v>
      </c>
      <c r="N155" t="s">
        <v>28</v>
      </c>
      <c r="O155" t="s">
        <v>27</v>
      </c>
      <c r="P155" t="s">
        <v>198</v>
      </c>
      <c r="Q155" t="s">
        <v>42</v>
      </c>
      <c r="R155" t="s">
        <v>345</v>
      </c>
      <c r="S155" t="s">
        <v>304</v>
      </c>
      <c r="T155" t="s">
        <v>530</v>
      </c>
      <c r="U155" t="s">
        <v>1221</v>
      </c>
      <c r="V155" t="s">
        <v>1483</v>
      </c>
      <c r="W155" t="s">
        <v>27</v>
      </c>
      <c r="X155" t="s">
        <v>1280</v>
      </c>
      <c r="Y155" t="s">
        <v>1176</v>
      </c>
      <c r="Z155" t="s">
        <v>27</v>
      </c>
      <c r="AA155" t="s">
        <v>28</v>
      </c>
      <c r="AB155" t="s">
        <v>24</v>
      </c>
      <c r="AC155" t="s">
        <v>1484</v>
      </c>
      <c r="AD155" t="s">
        <v>264</v>
      </c>
      <c r="AE155" t="s">
        <v>1485</v>
      </c>
      <c r="AF155" t="s">
        <v>1486</v>
      </c>
      <c r="AG155" t="s">
        <v>1130</v>
      </c>
      <c r="AH155" t="s">
        <v>723</v>
      </c>
      <c r="AI155" t="s">
        <v>1487</v>
      </c>
      <c r="AJ155" t="s">
        <v>114</v>
      </c>
      <c r="AK155" t="s">
        <v>14</v>
      </c>
      <c r="AL155" t="s">
        <v>1488</v>
      </c>
      <c r="AM155" t="s">
        <v>3</v>
      </c>
      <c r="AN155" t="s">
        <v>313</v>
      </c>
      <c r="AO155" t="s">
        <v>151</v>
      </c>
      <c r="AP155" t="s">
        <v>51</v>
      </c>
    </row>
    <row r="156" spans="1:42" x14ac:dyDescent="0.3">
      <c r="A156" t="s">
        <v>38</v>
      </c>
      <c r="B156" t="s">
        <v>146</v>
      </c>
      <c r="C156" t="s">
        <v>108</v>
      </c>
      <c r="D156" t="s">
        <v>200</v>
      </c>
      <c r="E156" t="s">
        <v>169</v>
      </c>
      <c r="F156" t="s">
        <v>27</v>
      </c>
      <c r="G156" t="s">
        <v>1412</v>
      </c>
      <c r="H156" t="s">
        <v>213</v>
      </c>
      <c r="I156" t="s">
        <v>113</v>
      </c>
      <c r="J156" t="s">
        <v>146</v>
      </c>
      <c r="K156" t="s">
        <v>9</v>
      </c>
      <c r="L156" t="s">
        <v>3</v>
      </c>
      <c r="M156" t="s">
        <v>264</v>
      </c>
      <c r="N156" t="s">
        <v>34</v>
      </c>
      <c r="O156" t="s">
        <v>9</v>
      </c>
      <c r="P156" t="s">
        <v>527</v>
      </c>
      <c r="Q156" t="s">
        <v>146</v>
      </c>
      <c r="R156" t="s">
        <v>169</v>
      </c>
      <c r="S156" t="s">
        <v>1413</v>
      </c>
      <c r="T156" t="s">
        <v>649</v>
      </c>
      <c r="U156" t="s">
        <v>972</v>
      </c>
      <c r="V156" t="s">
        <v>1115</v>
      </c>
      <c r="W156" t="s">
        <v>27</v>
      </c>
      <c r="X156" t="s">
        <v>1208</v>
      </c>
      <c r="Y156" t="s">
        <v>1434</v>
      </c>
      <c r="Z156" t="s">
        <v>9</v>
      </c>
      <c r="AA156" t="s">
        <v>27</v>
      </c>
      <c r="AB156" t="s">
        <v>14</v>
      </c>
      <c r="AC156" t="s">
        <v>1489</v>
      </c>
      <c r="AD156" t="s">
        <v>135</v>
      </c>
      <c r="AE156" t="s">
        <v>1490</v>
      </c>
      <c r="AF156" t="s">
        <v>1491</v>
      </c>
      <c r="AG156" t="s">
        <v>736</v>
      </c>
      <c r="AH156" t="s">
        <v>446</v>
      </c>
      <c r="AI156" t="s">
        <v>1492</v>
      </c>
      <c r="AJ156" t="s">
        <v>336</v>
      </c>
      <c r="AK156" t="s">
        <v>28</v>
      </c>
      <c r="AL156" t="s">
        <v>1230</v>
      </c>
      <c r="AM156" t="s">
        <v>3</v>
      </c>
      <c r="AN156" t="s">
        <v>126</v>
      </c>
      <c r="AO156" t="s">
        <v>126</v>
      </c>
      <c r="AP156" t="s">
        <v>51</v>
      </c>
    </row>
    <row r="157" spans="1:42" x14ac:dyDescent="0.3">
      <c r="A157" t="s">
        <v>29</v>
      </c>
      <c r="B157" t="s">
        <v>146</v>
      </c>
      <c r="C157" t="s">
        <v>145</v>
      </c>
      <c r="D157" t="s">
        <v>132</v>
      </c>
      <c r="E157" t="s">
        <v>699</v>
      </c>
      <c r="F157" t="s">
        <v>33</v>
      </c>
      <c r="G157" t="s">
        <v>766</v>
      </c>
      <c r="H157" t="s">
        <v>348</v>
      </c>
      <c r="I157" t="s">
        <v>146</v>
      </c>
      <c r="J157" t="s">
        <v>33</v>
      </c>
      <c r="K157" t="s">
        <v>28</v>
      </c>
      <c r="L157" t="s">
        <v>3</v>
      </c>
      <c r="M157" t="s">
        <v>124</v>
      </c>
      <c r="N157" t="s">
        <v>27</v>
      </c>
      <c r="O157" t="s">
        <v>27</v>
      </c>
      <c r="P157" t="s">
        <v>568</v>
      </c>
      <c r="Q157" t="s">
        <v>111</v>
      </c>
      <c r="R157" t="s">
        <v>105</v>
      </c>
      <c r="S157" t="s">
        <v>446</v>
      </c>
      <c r="T157" t="s">
        <v>266</v>
      </c>
      <c r="U157" t="s">
        <v>569</v>
      </c>
      <c r="V157" t="s">
        <v>1493</v>
      </c>
      <c r="W157" t="s">
        <v>9</v>
      </c>
      <c r="X157" t="s">
        <v>1494</v>
      </c>
      <c r="Y157" t="s">
        <v>557</v>
      </c>
      <c r="Z157" t="s">
        <v>28</v>
      </c>
      <c r="AA157" t="s">
        <v>9</v>
      </c>
      <c r="AB157" t="s">
        <v>9</v>
      </c>
      <c r="AC157" t="s">
        <v>1495</v>
      </c>
      <c r="AD157" t="s">
        <v>132</v>
      </c>
      <c r="AE157" t="s">
        <v>1496</v>
      </c>
      <c r="AF157" t="s">
        <v>1497</v>
      </c>
      <c r="AG157" t="s">
        <v>1130</v>
      </c>
      <c r="AH157" t="s">
        <v>686</v>
      </c>
      <c r="AI157" t="s">
        <v>1498</v>
      </c>
      <c r="AJ157" t="s">
        <v>303</v>
      </c>
      <c r="AK157" t="s">
        <v>14</v>
      </c>
      <c r="AL157" t="s">
        <v>1138</v>
      </c>
      <c r="AM157" t="s">
        <v>15</v>
      </c>
      <c r="AN157" t="s">
        <v>433</v>
      </c>
      <c r="AO157" t="s">
        <v>145</v>
      </c>
      <c r="AP157" t="s">
        <v>51</v>
      </c>
    </row>
    <row r="158" spans="1:42" x14ac:dyDescent="0.3">
      <c r="A158" t="s">
        <v>23</v>
      </c>
      <c r="B158" t="s">
        <v>42</v>
      </c>
      <c r="C158" t="s">
        <v>126</v>
      </c>
      <c r="D158" t="s">
        <v>421</v>
      </c>
      <c r="E158" t="s">
        <v>635</v>
      </c>
      <c r="F158" t="s">
        <v>3</v>
      </c>
      <c r="G158" t="s">
        <v>1482</v>
      </c>
      <c r="H158" t="s">
        <v>186</v>
      </c>
      <c r="I158" t="s">
        <v>111</v>
      </c>
      <c r="J158" t="s">
        <v>33</v>
      </c>
      <c r="K158" t="s">
        <v>9</v>
      </c>
      <c r="L158" t="s">
        <v>3</v>
      </c>
      <c r="M158" t="s">
        <v>336</v>
      </c>
      <c r="N158" t="s">
        <v>42</v>
      </c>
      <c r="O158" t="s">
        <v>3</v>
      </c>
      <c r="P158" t="s">
        <v>527</v>
      </c>
      <c r="Q158" t="s">
        <v>24</v>
      </c>
      <c r="R158" t="s">
        <v>279</v>
      </c>
      <c r="S158" t="s">
        <v>290</v>
      </c>
      <c r="T158" t="s">
        <v>435</v>
      </c>
      <c r="U158" t="s">
        <v>528</v>
      </c>
      <c r="V158" t="s">
        <v>1493</v>
      </c>
      <c r="W158" t="s">
        <v>27</v>
      </c>
      <c r="X158" t="s">
        <v>1499</v>
      </c>
      <c r="Y158" t="s">
        <v>1362</v>
      </c>
      <c r="Z158" t="s">
        <v>24</v>
      </c>
      <c r="AA158" t="s">
        <v>27</v>
      </c>
      <c r="AB158" t="s">
        <v>27</v>
      </c>
      <c r="AC158" t="s">
        <v>1500</v>
      </c>
      <c r="AD158" t="s">
        <v>252</v>
      </c>
      <c r="AE158" t="s">
        <v>1501</v>
      </c>
      <c r="AF158" t="s">
        <v>1502</v>
      </c>
      <c r="AG158" t="s">
        <v>1503</v>
      </c>
      <c r="AH158" t="s">
        <v>757</v>
      </c>
      <c r="AI158" t="s">
        <v>1504</v>
      </c>
      <c r="AJ158" t="s">
        <v>249</v>
      </c>
      <c r="AK158" t="s">
        <v>109</v>
      </c>
      <c r="AL158" t="s">
        <v>323</v>
      </c>
      <c r="AM158" t="s">
        <v>15</v>
      </c>
      <c r="AN158" t="s">
        <v>433</v>
      </c>
      <c r="AO158" t="s">
        <v>108</v>
      </c>
      <c r="AP158" t="s">
        <v>51</v>
      </c>
    </row>
    <row r="159" spans="1:42" x14ac:dyDescent="0.3">
      <c r="A159" t="s">
        <v>47</v>
      </c>
      <c r="B159" t="s">
        <v>34</v>
      </c>
      <c r="C159" t="s">
        <v>108</v>
      </c>
      <c r="D159" t="s">
        <v>103</v>
      </c>
      <c r="E159" t="s">
        <v>128</v>
      </c>
      <c r="F159" t="s">
        <v>9</v>
      </c>
      <c r="G159" t="s">
        <v>688</v>
      </c>
      <c r="H159" t="s">
        <v>740</v>
      </c>
      <c r="I159" t="s">
        <v>151</v>
      </c>
      <c r="J159" t="s">
        <v>33</v>
      </c>
      <c r="K159" t="s">
        <v>3</v>
      </c>
      <c r="L159" t="s">
        <v>3</v>
      </c>
      <c r="M159" t="s">
        <v>164</v>
      </c>
      <c r="N159" t="s">
        <v>42</v>
      </c>
      <c r="O159" t="s">
        <v>3</v>
      </c>
      <c r="P159" t="s">
        <v>182</v>
      </c>
      <c r="Q159" t="s">
        <v>109</v>
      </c>
      <c r="R159" t="s">
        <v>128</v>
      </c>
      <c r="S159" t="s">
        <v>504</v>
      </c>
      <c r="T159" t="s">
        <v>290</v>
      </c>
      <c r="U159" t="s">
        <v>1317</v>
      </c>
      <c r="V159" t="s">
        <v>1505</v>
      </c>
      <c r="W159" t="s">
        <v>27</v>
      </c>
      <c r="X159" t="s">
        <v>1506</v>
      </c>
      <c r="Y159" t="s">
        <v>647</v>
      </c>
      <c r="Z159" t="s">
        <v>14</v>
      </c>
      <c r="AA159" t="s">
        <v>27</v>
      </c>
      <c r="AB159" t="s">
        <v>27</v>
      </c>
      <c r="AC159" t="s">
        <v>1507</v>
      </c>
      <c r="AD159" t="s">
        <v>635</v>
      </c>
      <c r="AE159" t="s">
        <v>1508</v>
      </c>
      <c r="AF159" t="s">
        <v>1509</v>
      </c>
      <c r="AG159" t="s">
        <v>823</v>
      </c>
      <c r="AH159" t="s">
        <v>1041</v>
      </c>
      <c r="AI159" t="s">
        <v>1510</v>
      </c>
      <c r="AJ159" t="s">
        <v>124</v>
      </c>
      <c r="AK159" t="s">
        <v>146</v>
      </c>
      <c r="AL159" t="s">
        <v>549</v>
      </c>
      <c r="AM159" t="s">
        <v>15</v>
      </c>
      <c r="AN159" t="s">
        <v>110</v>
      </c>
      <c r="AO159" t="s">
        <v>111</v>
      </c>
      <c r="AP159" t="s">
        <v>51</v>
      </c>
    </row>
    <row r="160" spans="1:42" x14ac:dyDescent="0.3">
      <c r="A160" t="s">
        <v>52</v>
      </c>
      <c r="B160" t="s">
        <v>33</v>
      </c>
      <c r="C160" t="s">
        <v>135</v>
      </c>
      <c r="D160" t="s">
        <v>252</v>
      </c>
      <c r="E160" t="s">
        <v>268</v>
      </c>
      <c r="F160" t="s">
        <v>3</v>
      </c>
      <c r="G160" t="s">
        <v>346</v>
      </c>
      <c r="H160" t="s">
        <v>614</v>
      </c>
      <c r="I160" t="s">
        <v>146</v>
      </c>
      <c r="J160" t="s">
        <v>42</v>
      </c>
      <c r="K160" t="s">
        <v>3</v>
      </c>
      <c r="L160" t="s">
        <v>15</v>
      </c>
      <c r="M160" t="s">
        <v>103</v>
      </c>
      <c r="N160" t="s">
        <v>27</v>
      </c>
      <c r="O160" t="s">
        <v>15</v>
      </c>
      <c r="P160" t="s">
        <v>115</v>
      </c>
      <c r="Q160" t="s">
        <v>33</v>
      </c>
      <c r="R160" t="s">
        <v>136</v>
      </c>
      <c r="S160" t="s">
        <v>952</v>
      </c>
      <c r="T160" t="s">
        <v>333</v>
      </c>
      <c r="U160" t="s">
        <v>766</v>
      </c>
      <c r="V160" t="s">
        <v>1265</v>
      </c>
      <c r="W160" t="s">
        <v>27</v>
      </c>
      <c r="X160" t="s">
        <v>1511</v>
      </c>
      <c r="Y160" t="s">
        <v>1493</v>
      </c>
      <c r="Z160" t="s">
        <v>15</v>
      </c>
      <c r="AA160" t="s">
        <v>9</v>
      </c>
      <c r="AB160" t="s">
        <v>9</v>
      </c>
      <c r="AC160" t="s">
        <v>1512</v>
      </c>
      <c r="AD160" t="s">
        <v>171</v>
      </c>
      <c r="AE160" t="s">
        <v>1513</v>
      </c>
      <c r="AF160" t="s">
        <v>1514</v>
      </c>
      <c r="AG160" t="s">
        <v>1515</v>
      </c>
      <c r="AH160" t="s">
        <v>287</v>
      </c>
      <c r="AI160" t="s">
        <v>1516</v>
      </c>
      <c r="AJ160" t="s">
        <v>264</v>
      </c>
      <c r="AK160" t="s">
        <v>24</v>
      </c>
      <c r="AL160" t="s">
        <v>775</v>
      </c>
      <c r="AM160" t="s">
        <v>15</v>
      </c>
      <c r="AN160" t="s">
        <v>166</v>
      </c>
      <c r="AO160" t="s">
        <v>185</v>
      </c>
      <c r="AP160" t="s">
        <v>51</v>
      </c>
    </row>
    <row r="161" spans="1:42" x14ac:dyDescent="0.3">
      <c r="A161" t="s">
        <v>35</v>
      </c>
      <c r="B161" t="s">
        <v>33</v>
      </c>
      <c r="C161" t="s">
        <v>113</v>
      </c>
      <c r="D161" t="s">
        <v>227</v>
      </c>
      <c r="E161" t="s">
        <v>408</v>
      </c>
      <c r="F161" t="s">
        <v>15</v>
      </c>
      <c r="G161" t="s">
        <v>1176</v>
      </c>
      <c r="H161" t="s">
        <v>649</v>
      </c>
      <c r="I161" t="s">
        <v>28</v>
      </c>
      <c r="J161" t="s">
        <v>28</v>
      </c>
      <c r="K161" t="s">
        <v>9</v>
      </c>
      <c r="L161" t="s">
        <v>15</v>
      </c>
      <c r="M161" t="s">
        <v>171</v>
      </c>
      <c r="N161" t="s">
        <v>34</v>
      </c>
      <c r="O161" t="s">
        <v>3</v>
      </c>
      <c r="P161" t="s">
        <v>337</v>
      </c>
      <c r="Q161" t="s">
        <v>33</v>
      </c>
      <c r="R161" t="s">
        <v>166</v>
      </c>
      <c r="S161" t="s">
        <v>229</v>
      </c>
      <c r="T161" t="s">
        <v>504</v>
      </c>
      <c r="U161" t="s">
        <v>1439</v>
      </c>
      <c r="V161" t="s">
        <v>1146</v>
      </c>
      <c r="W161" t="s">
        <v>3</v>
      </c>
      <c r="X161" t="s">
        <v>1517</v>
      </c>
      <c r="Y161" t="s">
        <v>1518</v>
      </c>
      <c r="Z161" t="s">
        <v>9</v>
      </c>
      <c r="AA161" t="s">
        <v>33</v>
      </c>
      <c r="AB161" t="s">
        <v>24</v>
      </c>
      <c r="AC161" t="s">
        <v>1519</v>
      </c>
      <c r="AD161" t="s">
        <v>132</v>
      </c>
      <c r="AE161" t="s">
        <v>1520</v>
      </c>
      <c r="AF161" t="s">
        <v>1521</v>
      </c>
      <c r="AG161" t="s">
        <v>801</v>
      </c>
      <c r="AH161" t="s">
        <v>276</v>
      </c>
      <c r="AI161" t="s">
        <v>1522</v>
      </c>
      <c r="AJ161" t="s">
        <v>171</v>
      </c>
      <c r="AK161" t="s">
        <v>15</v>
      </c>
      <c r="AL161" t="s">
        <v>1201</v>
      </c>
      <c r="AM161" t="s">
        <v>9</v>
      </c>
      <c r="AN161" t="s">
        <v>154</v>
      </c>
      <c r="AO161" t="s">
        <v>131</v>
      </c>
      <c r="AP161" t="s">
        <v>51</v>
      </c>
    </row>
    <row r="162" spans="1:42" x14ac:dyDescent="0.3">
      <c r="A162" t="s">
        <v>25</v>
      </c>
      <c r="B162" t="s">
        <v>302</v>
      </c>
      <c r="C162" t="s">
        <v>14</v>
      </c>
      <c r="D162" t="s">
        <v>172</v>
      </c>
      <c r="E162" t="s">
        <v>172</v>
      </c>
      <c r="F162" t="s">
        <v>27</v>
      </c>
      <c r="G162" t="s">
        <v>1523</v>
      </c>
      <c r="H162" t="s">
        <v>676</v>
      </c>
      <c r="I162" t="s">
        <v>151</v>
      </c>
      <c r="J162" t="s">
        <v>146</v>
      </c>
      <c r="K162" t="s">
        <v>27</v>
      </c>
      <c r="L162" t="s">
        <v>3</v>
      </c>
      <c r="M162" t="s">
        <v>515</v>
      </c>
      <c r="N162" t="s">
        <v>33</v>
      </c>
      <c r="O162" t="s">
        <v>3</v>
      </c>
      <c r="P162" t="s">
        <v>503</v>
      </c>
      <c r="Q162" t="s">
        <v>181</v>
      </c>
      <c r="R162" t="s">
        <v>252</v>
      </c>
      <c r="S162" t="s">
        <v>383</v>
      </c>
      <c r="T162" t="s">
        <v>313</v>
      </c>
      <c r="U162" t="s">
        <v>588</v>
      </c>
      <c r="V162" t="s">
        <v>1524</v>
      </c>
      <c r="W162" t="s">
        <v>9</v>
      </c>
      <c r="X162" t="s">
        <v>1525</v>
      </c>
      <c r="Y162" t="s">
        <v>1526</v>
      </c>
      <c r="Z162" t="s">
        <v>3</v>
      </c>
      <c r="AA162" t="s">
        <v>14</v>
      </c>
      <c r="AB162" t="s">
        <v>14</v>
      </c>
      <c r="AC162" t="s">
        <v>1527</v>
      </c>
      <c r="AD162" t="s">
        <v>172</v>
      </c>
      <c r="AE162" t="s">
        <v>259</v>
      </c>
      <c r="AF162" t="s">
        <v>1528</v>
      </c>
      <c r="AG162" t="s">
        <v>1258</v>
      </c>
      <c r="AH162" t="s">
        <v>168</v>
      </c>
      <c r="AI162" t="s">
        <v>1529</v>
      </c>
      <c r="AJ162" t="s">
        <v>421</v>
      </c>
      <c r="AK162" t="s">
        <v>9</v>
      </c>
      <c r="AL162" t="s">
        <v>767</v>
      </c>
      <c r="AM162" t="s">
        <v>15</v>
      </c>
      <c r="AN162" t="s">
        <v>172</v>
      </c>
      <c r="AO162" t="s">
        <v>185</v>
      </c>
      <c r="AP162" t="s">
        <v>54</v>
      </c>
    </row>
    <row r="163" spans="1:42" x14ac:dyDescent="0.3">
      <c r="A163" t="s">
        <v>26</v>
      </c>
      <c r="B163" t="s">
        <v>126</v>
      </c>
      <c r="C163" t="s">
        <v>33</v>
      </c>
      <c r="D163" t="s">
        <v>104</v>
      </c>
      <c r="E163" t="s">
        <v>224</v>
      </c>
      <c r="F163" t="s">
        <v>9</v>
      </c>
      <c r="G163" t="s">
        <v>1320</v>
      </c>
      <c r="H163" t="s">
        <v>442</v>
      </c>
      <c r="I163" t="s">
        <v>269</v>
      </c>
      <c r="J163" t="s">
        <v>24</v>
      </c>
      <c r="K163" t="s">
        <v>33</v>
      </c>
      <c r="L163" t="s">
        <v>14</v>
      </c>
      <c r="M163" t="s">
        <v>322</v>
      </c>
      <c r="N163" t="s">
        <v>151</v>
      </c>
      <c r="O163" t="s">
        <v>42</v>
      </c>
      <c r="P163" t="s">
        <v>278</v>
      </c>
      <c r="Q163" t="s">
        <v>131</v>
      </c>
      <c r="R163" t="s">
        <v>200</v>
      </c>
      <c r="S163" t="s">
        <v>410</v>
      </c>
      <c r="T163" t="s">
        <v>359</v>
      </c>
      <c r="U163" t="s">
        <v>1530</v>
      </c>
      <c r="V163" t="s">
        <v>948</v>
      </c>
      <c r="W163" t="s">
        <v>3</v>
      </c>
      <c r="X163" t="s">
        <v>637</v>
      </c>
      <c r="Y163" t="s">
        <v>784</v>
      </c>
      <c r="Z163" t="s">
        <v>14</v>
      </c>
      <c r="AA163" t="s">
        <v>27</v>
      </c>
      <c r="AB163" t="s">
        <v>14</v>
      </c>
      <c r="AC163" t="s">
        <v>1531</v>
      </c>
      <c r="AD163" t="s">
        <v>293</v>
      </c>
      <c r="AE163" t="s">
        <v>1532</v>
      </c>
      <c r="AF163" t="s">
        <v>1533</v>
      </c>
      <c r="AG163" t="s">
        <v>1311</v>
      </c>
      <c r="AH163" t="s">
        <v>216</v>
      </c>
      <c r="AI163" t="s">
        <v>1534</v>
      </c>
      <c r="AJ163" t="s">
        <v>214</v>
      </c>
      <c r="AK163" t="s">
        <v>3</v>
      </c>
      <c r="AL163" t="s">
        <v>979</v>
      </c>
      <c r="AM163" t="s">
        <v>3</v>
      </c>
      <c r="AN163" t="s">
        <v>202</v>
      </c>
      <c r="AO163" t="s">
        <v>336</v>
      </c>
      <c r="AP163" t="s">
        <v>54</v>
      </c>
    </row>
    <row r="164" spans="1:42" x14ac:dyDescent="0.3">
      <c r="A164" t="s">
        <v>5</v>
      </c>
      <c r="B164" t="s">
        <v>135</v>
      </c>
      <c r="C164" t="s">
        <v>33</v>
      </c>
      <c r="D164" t="s">
        <v>433</v>
      </c>
      <c r="E164" t="s">
        <v>322</v>
      </c>
      <c r="F164" t="s">
        <v>9</v>
      </c>
      <c r="G164" t="s">
        <v>1253</v>
      </c>
      <c r="H164" t="s">
        <v>1535</v>
      </c>
      <c r="I164" t="s">
        <v>185</v>
      </c>
      <c r="J164" t="s">
        <v>146</v>
      </c>
      <c r="K164" t="s">
        <v>28</v>
      </c>
      <c r="L164" t="s">
        <v>14</v>
      </c>
      <c r="M164" t="s">
        <v>128</v>
      </c>
      <c r="N164" t="s">
        <v>42</v>
      </c>
      <c r="O164" t="s">
        <v>9</v>
      </c>
      <c r="P164" t="s">
        <v>127</v>
      </c>
      <c r="Q164" t="s">
        <v>185</v>
      </c>
      <c r="R164" t="s">
        <v>240</v>
      </c>
      <c r="S164" t="s">
        <v>254</v>
      </c>
      <c r="T164" t="s">
        <v>1413</v>
      </c>
      <c r="U164" t="s">
        <v>973</v>
      </c>
      <c r="V164" t="s">
        <v>1309</v>
      </c>
      <c r="W164" t="s">
        <v>14</v>
      </c>
      <c r="X164" t="s">
        <v>427</v>
      </c>
      <c r="Y164" t="s">
        <v>1536</v>
      </c>
      <c r="Z164" t="s">
        <v>3</v>
      </c>
      <c r="AA164" t="s">
        <v>14</v>
      </c>
      <c r="AB164" t="s">
        <v>14</v>
      </c>
      <c r="AC164" t="s">
        <v>1537</v>
      </c>
      <c r="AD164" t="s">
        <v>1078</v>
      </c>
      <c r="AE164" t="s">
        <v>1538</v>
      </c>
      <c r="AF164" t="s">
        <v>1539</v>
      </c>
      <c r="AG164" t="s">
        <v>561</v>
      </c>
      <c r="AH164" t="s">
        <v>116</v>
      </c>
      <c r="AI164" t="s">
        <v>1540</v>
      </c>
      <c r="AJ164" t="s">
        <v>163</v>
      </c>
      <c r="AK164" t="s">
        <v>9</v>
      </c>
      <c r="AL164" t="s">
        <v>767</v>
      </c>
      <c r="AM164" t="s">
        <v>15</v>
      </c>
      <c r="AN164" t="s">
        <v>558</v>
      </c>
      <c r="AO164" t="s">
        <v>185</v>
      </c>
      <c r="AP164" t="s">
        <v>54</v>
      </c>
    </row>
    <row r="165" spans="1:42" x14ac:dyDescent="0.3">
      <c r="A165" t="s">
        <v>22</v>
      </c>
      <c r="B165" t="s">
        <v>145</v>
      </c>
      <c r="C165" t="s">
        <v>34</v>
      </c>
      <c r="D165" t="s">
        <v>128</v>
      </c>
      <c r="E165" t="s">
        <v>127</v>
      </c>
      <c r="F165" t="s">
        <v>24</v>
      </c>
      <c r="G165" t="s">
        <v>1541</v>
      </c>
      <c r="H165" t="s">
        <v>908</v>
      </c>
      <c r="I165" t="s">
        <v>111</v>
      </c>
      <c r="J165" t="s">
        <v>109</v>
      </c>
      <c r="K165" t="s">
        <v>14</v>
      </c>
      <c r="L165" t="s">
        <v>9</v>
      </c>
      <c r="M165" t="s">
        <v>325</v>
      </c>
      <c r="N165" t="s">
        <v>33</v>
      </c>
      <c r="O165" t="s">
        <v>9</v>
      </c>
      <c r="P165" t="s">
        <v>215</v>
      </c>
      <c r="Q165" t="s">
        <v>111</v>
      </c>
      <c r="R165" t="s">
        <v>124</v>
      </c>
      <c r="S165" t="s">
        <v>377</v>
      </c>
      <c r="T165" t="s">
        <v>254</v>
      </c>
      <c r="U165" t="s">
        <v>1542</v>
      </c>
      <c r="V165" t="s">
        <v>1309</v>
      </c>
      <c r="W165" t="s">
        <v>27</v>
      </c>
      <c r="X165" t="s">
        <v>1543</v>
      </c>
      <c r="Y165" t="s">
        <v>167</v>
      </c>
      <c r="Z165" t="s">
        <v>3</v>
      </c>
      <c r="AA165" t="s">
        <v>27</v>
      </c>
      <c r="AB165" t="s">
        <v>14</v>
      </c>
      <c r="AC165" t="s">
        <v>1544</v>
      </c>
      <c r="AD165" t="s">
        <v>267</v>
      </c>
      <c r="AE165" t="s">
        <v>1545</v>
      </c>
      <c r="AF165" t="s">
        <v>1546</v>
      </c>
      <c r="AG165" t="s">
        <v>916</v>
      </c>
      <c r="AH165" t="s">
        <v>150</v>
      </c>
      <c r="AI165" t="s">
        <v>1547</v>
      </c>
      <c r="AJ165" t="s">
        <v>227</v>
      </c>
      <c r="AK165" t="s">
        <v>24</v>
      </c>
      <c r="AL165" t="s">
        <v>1548</v>
      </c>
      <c r="AM165" t="s">
        <v>3</v>
      </c>
      <c r="AN165" t="s">
        <v>423</v>
      </c>
      <c r="AO165" t="s">
        <v>33</v>
      </c>
      <c r="AP165" t="s">
        <v>54</v>
      </c>
    </row>
    <row r="166" spans="1:42" x14ac:dyDescent="0.3">
      <c r="A166" t="s">
        <v>21</v>
      </c>
      <c r="B166" t="s">
        <v>164</v>
      </c>
      <c r="C166" t="s">
        <v>109</v>
      </c>
      <c r="D166" t="s">
        <v>635</v>
      </c>
      <c r="E166" t="s">
        <v>263</v>
      </c>
      <c r="F166" t="s">
        <v>27</v>
      </c>
      <c r="G166" t="s">
        <v>1080</v>
      </c>
      <c r="H166" t="s">
        <v>1159</v>
      </c>
      <c r="I166" t="s">
        <v>111</v>
      </c>
      <c r="J166" t="s">
        <v>34</v>
      </c>
      <c r="K166" t="s">
        <v>14</v>
      </c>
      <c r="L166" t="s">
        <v>27</v>
      </c>
      <c r="M166" t="s">
        <v>197</v>
      </c>
      <c r="N166" t="s">
        <v>111</v>
      </c>
      <c r="O166" t="s">
        <v>9</v>
      </c>
      <c r="P166" t="s">
        <v>224</v>
      </c>
      <c r="Q166" t="s">
        <v>42</v>
      </c>
      <c r="R166" t="s">
        <v>169</v>
      </c>
      <c r="S166" t="s">
        <v>270</v>
      </c>
      <c r="T166" t="s">
        <v>367</v>
      </c>
      <c r="U166" t="s">
        <v>953</v>
      </c>
      <c r="V166" t="s">
        <v>872</v>
      </c>
      <c r="W166" t="s">
        <v>28</v>
      </c>
      <c r="X166" t="s">
        <v>1549</v>
      </c>
      <c r="Y166" t="s">
        <v>129</v>
      </c>
      <c r="Z166" t="s">
        <v>9</v>
      </c>
      <c r="AA166" t="s">
        <v>33</v>
      </c>
      <c r="AB166" t="s">
        <v>24</v>
      </c>
      <c r="AC166" t="s">
        <v>1550</v>
      </c>
      <c r="AD166" t="s">
        <v>699</v>
      </c>
      <c r="AE166" t="s">
        <v>1551</v>
      </c>
      <c r="AF166" t="s">
        <v>1552</v>
      </c>
      <c r="AG166" t="s">
        <v>1553</v>
      </c>
      <c r="AH166" t="s">
        <v>624</v>
      </c>
      <c r="AI166" t="s">
        <v>1554</v>
      </c>
      <c r="AJ166" t="s">
        <v>486</v>
      </c>
      <c r="AK166" t="s">
        <v>3</v>
      </c>
      <c r="AL166" t="s">
        <v>1555</v>
      </c>
      <c r="AM166" t="s">
        <v>3</v>
      </c>
      <c r="AN166" t="s">
        <v>163</v>
      </c>
      <c r="AO166" t="s">
        <v>103</v>
      </c>
      <c r="AP166" t="s">
        <v>54</v>
      </c>
    </row>
    <row r="167" spans="1:42" x14ac:dyDescent="0.3">
      <c r="A167" t="s">
        <v>2</v>
      </c>
      <c r="B167" t="s">
        <v>269</v>
      </c>
      <c r="C167" t="s">
        <v>109</v>
      </c>
      <c r="D167" t="s">
        <v>202</v>
      </c>
      <c r="E167" t="s">
        <v>515</v>
      </c>
      <c r="F167" t="s">
        <v>14</v>
      </c>
      <c r="G167" t="s">
        <v>722</v>
      </c>
      <c r="H167" t="s">
        <v>630</v>
      </c>
      <c r="I167" t="s">
        <v>109</v>
      </c>
      <c r="J167" t="s">
        <v>24</v>
      </c>
      <c r="K167" t="s">
        <v>24</v>
      </c>
      <c r="L167" t="s">
        <v>3</v>
      </c>
      <c r="M167" t="s">
        <v>148</v>
      </c>
      <c r="N167" t="s">
        <v>34</v>
      </c>
      <c r="O167" t="s">
        <v>9</v>
      </c>
      <c r="P167" t="s">
        <v>503</v>
      </c>
      <c r="Q167" t="s">
        <v>131</v>
      </c>
      <c r="R167" t="s">
        <v>182</v>
      </c>
      <c r="S167" t="s">
        <v>410</v>
      </c>
      <c r="T167" t="s">
        <v>447</v>
      </c>
      <c r="U167" t="s">
        <v>1242</v>
      </c>
      <c r="V167" t="s">
        <v>1556</v>
      </c>
      <c r="W167" t="s">
        <v>42</v>
      </c>
      <c r="X167" t="s">
        <v>1557</v>
      </c>
      <c r="Y167" t="s">
        <v>1100</v>
      </c>
      <c r="Z167" t="s">
        <v>9</v>
      </c>
      <c r="AA167" t="s">
        <v>14</v>
      </c>
      <c r="AB167" t="s">
        <v>3</v>
      </c>
      <c r="AC167" t="s">
        <v>1558</v>
      </c>
      <c r="AD167" t="s">
        <v>471</v>
      </c>
      <c r="AE167" t="s">
        <v>1559</v>
      </c>
      <c r="AF167" t="s">
        <v>1560</v>
      </c>
      <c r="AG167" t="s">
        <v>167</v>
      </c>
      <c r="AH167" t="s">
        <v>310</v>
      </c>
      <c r="AI167" t="s">
        <v>1561</v>
      </c>
      <c r="AJ167" t="s">
        <v>291</v>
      </c>
      <c r="AK167" t="s">
        <v>14</v>
      </c>
      <c r="AL167" t="s">
        <v>1202</v>
      </c>
      <c r="AM167" t="s">
        <v>9</v>
      </c>
      <c r="AN167" t="s">
        <v>200</v>
      </c>
      <c r="AO167" t="s">
        <v>132</v>
      </c>
      <c r="AP167" t="s">
        <v>54</v>
      </c>
    </row>
    <row r="168" spans="1:42" x14ac:dyDescent="0.3">
      <c r="A168" t="s">
        <v>50</v>
      </c>
      <c r="B168" t="s">
        <v>269</v>
      </c>
      <c r="C168" t="s">
        <v>131</v>
      </c>
      <c r="D168" t="s">
        <v>187</v>
      </c>
      <c r="E168" t="s">
        <v>147</v>
      </c>
      <c r="F168" t="s">
        <v>14</v>
      </c>
      <c r="G168" t="s">
        <v>856</v>
      </c>
      <c r="H168" t="s">
        <v>422</v>
      </c>
      <c r="I168" t="s">
        <v>181</v>
      </c>
      <c r="J168" t="s">
        <v>14</v>
      </c>
      <c r="K168" t="s">
        <v>9</v>
      </c>
      <c r="L168" t="s">
        <v>15</v>
      </c>
      <c r="M168" t="s">
        <v>356</v>
      </c>
      <c r="N168" t="s">
        <v>27</v>
      </c>
      <c r="O168" t="s">
        <v>15</v>
      </c>
      <c r="P168" t="s">
        <v>410</v>
      </c>
      <c r="Q168" t="s">
        <v>151</v>
      </c>
      <c r="R168" t="s">
        <v>423</v>
      </c>
      <c r="S168" t="s">
        <v>112</v>
      </c>
      <c r="T168" t="s">
        <v>358</v>
      </c>
      <c r="U168" t="s">
        <v>1265</v>
      </c>
      <c r="V168" t="s">
        <v>342</v>
      </c>
      <c r="W168" t="s">
        <v>24</v>
      </c>
      <c r="X168" t="s">
        <v>638</v>
      </c>
      <c r="Y168" t="s">
        <v>1474</v>
      </c>
      <c r="Z168" t="s">
        <v>15</v>
      </c>
      <c r="AA168" t="s">
        <v>9</v>
      </c>
      <c r="AB168" t="s">
        <v>9</v>
      </c>
      <c r="AC168" t="s">
        <v>1562</v>
      </c>
      <c r="AD168" t="s">
        <v>200</v>
      </c>
      <c r="AE168" t="s">
        <v>1563</v>
      </c>
      <c r="AF168" t="s">
        <v>1564</v>
      </c>
      <c r="AG168" t="s">
        <v>1565</v>
      </c>
      <c r="AH168" t="s">
        <v>247</v>
      </c>
      <c r="AI168" t="s">
        <v>1566</v>
      </c>
      <c r="AJ168" t="s">
        <v>148</v>
      </c>
      <c r="AK168" t="s">
        <v>27</v>
      </c>
      <c r="AL168" t="s">
        <v>1475</v>
      </c>
      <c r="AM168" t="s">
        <v>15</v>
      </c>
      <c r="AN168" t="s">
        <v>356</v>
      </c>
      <c r="AO168" t="s">
        <v>151</v>
      </c>
      <c r="AP168" t="s">
        <v>54</v>
      </c>
    </row>
    <row r="169" spans="1:42" x14ac:dyDescent="0.3">
      <c r="A169" t="s">
        <v>48</v>
      </c>
      <c r="B169" t="s">
        <v>113</v>
      </c>
      <c r="C169" t="s">
        <v>131</v>
      </c>
      <c r="D169" t="s">
        <v>152</v>
      </c>
      <c r="E169" t="s">
        <v>182</v>
      </c>
      <c r="F169" t="s">
        <v>24</v>
      </c>
      <c r="G169" t="s">
        <v>1088</v>
      </c>
      <c r="H169" t="s">
        <v>292</v>
      </c>
      <c r="I169" t="s">
        <v>109</v>
      </c>
      <c r="J169" t="s">
        <v>24</v>
      </c>
      <c r="K169" t="s">
        <v>9</v>
      </c>
      <c r="L169" t="s">
        <v>9</v>
      </c>
      <c r="M169" t="s">
        <v>200</v>
      </c>
      <c r="N169" t="s">
        <v>34</v>
      </c>
      <c r="O169" t="s">
        <v>3</v>
      </c>
      <c r="P169" t="s">
        <v>112</v>
      </c>
      <c r="Q169" t="s">
        <v>185</v>
      </c>
      <c r="R169" t="s">
        <v>268</v>
      </c>
      <c r="S169" t="s">
        <v>253</v>
      </c>
      <c r="T169" t="s">
        <v>649</v>
      </c>
      <c r="U169" t="s">
        <v>796</v>
      </c>
      <c r="V169" t="s">
        <v>965</v>
      </c>
      <c r="W169" t="s">
        <v>15</v>
      </c>
      <c r="X169" t="s">
        <v>1567</v>
      </c>
      <c r="Y169" t="s">
        <v>964</v>
      </c>
      <c r="Z169" t="s">
        <v>3</v>
      </c>
      <c r="AA169" t="s">
        <v>9</v>
      </c>
      <c r="AB169" t="s">
        <v>9</v>
      </c>
      <c r="AC169" t="s">
        <v>1568</v>
      </c>
      <c r="AD169" t="s">
        <v>237</v>
      </c>
      <c r="AE169" t="s">
        <v>1569</v>
      </c>
      <c r="AF169" t="s">
        <v>1570</v>
      </c>
      <c r="AG169" t="s">
        <v>965</v>
      </c>
      <c r="AH169" t="s">
        <v>472</v>
      </c>
      <c r="AI169" t="s">
        <v>1571</v>
      </c>
      <c r="AJ169" t="s">
        <v>171</v>
      </c>
      <c r="AK169" t="s">
        <v>14</v>
      </c>
      <c r="AL169" t="s">
        <v>1572</v>
      </c>
      <c r="AM169" t="s">
        <v>15</v>
      </c>
      <c r="AN169" t="s">
        <v>337</v>
      </c>
      <c r="AO169" t="s">
        <v>336</v>
      </c>
      <c r="AP169" t="s">
        <v>54</v>
      </c>
    </row>
    <row r="170" spans="1:42" x14ac:dyDescent="0.3">
      <c r="A170" t="s">
        <v>37</v>
      </c>
      <c r="B170" t="s">
        <v>151</v>
      </c>
      <c r="C170" t="s">
        <v>131</v>
      </c>
      <c r="D170" t="s">
        <v>182</v>
      </c>
      <c r="E170" t="s">
        <v>324</v>
      </c>
      <c r="F170" t="s">
        <v>3</v>
      </c>
      <c r="G170" t="s">
        <v>482</v>
      </c>
      <c r="H170" t="s">
        <v>531</v>
      </c>
      <c r="I170" t="s">
        <v>42</v>
      </c>
      <c r="J170" t="s">
        <v>131</v>
      </c>
      <c r="K170" t="s">
        <v>14</v>
      </c>
      <c r="L170" t="s">
        <v>15</v>
      </c>
      <c r="M170" t="s">
        <v>132</v>
      </c>
      <c r="N170" t="s">
        <v>33</v>
      </c>
      <c r="O170" t="s">
        <v>3</v>
      </c>
      <c r="P170" t="s">
        <v>503</v>
      </c>
      <c r="Q170" t="s">
        <v>42</v>
      </c>
      <c r="R170" t="s">
        <v>249</v>
      </c>
      <c r="S170" t="s">
        <v>254</v>
      </c>
      <c r="T170" t="s">
        <v>281</v>
      </c>
      <c r="U170" t="s">
        <v>424</v>
      </c>
      <c r="V170" t="s">
        <v>832</v>
      </c>
      <c r="W170" t="s">
        <v>34</v>
      </c>
      <c r="X170" t="s">
        <v>1573</v>
      </c>
      <c r="Y170" t="s">
        <v>1043</v>
      </c>
      <c r="Z170" t="s">
        <v>15</v>
      </c>
      <c r="AA170" t="s">
        <v>24</v>
      </c>
      <c r="AB170" t="s">
        <v>24</v>
      </c>
      <c r="AC170" t="s">
        <v>1574</v>
      </c>
      <c r="AD170" t="s">
        <v>109</v>
      </c>
      <c r="AE170" t="s">
        <v>1575</v>
      </c>
      <c r="AF170" t="s">
        <v>1576</v>
      </c>
      <c r="AG170" t="s">
        <v>1577</v>
      </c>
      <c r="AH170" t="s">
        <v>320</v>
      </c>
      <c r="AI170" t="s">
        <v>1578</v>
      </c>
      <c r="AJ170" t="s">
        <v>252</v>
      </c>
      <c r="AK170" t="s">
        <v>14</v>
      </c>
      <c r="AL170" t="s">
        <v>1464</v>
      </c>
      <c r="AM170" t="s">
        <v>15</v>
      </c>
      <c r="AN170" t="s">
        <v>322</v>
      </c>
      <c r="AO170" t="s">
        <v>109</v>
      </c>
      <c r="AP170" t="s">
        <v>54</v>
      </c>
    </row>
    <row r="171" spans="1:42" x14ac:dyDescent="0.3">
      <c r="A171" t="s">
        <v>53</v>
      </c>
      <c r="B171" t="s">
        <v>185</v>
      </c>
      <c r="C171" t="s">
        <v>113</v>
      </c>
      <c r="D171" t="s">
        <v>197</v>
      </c>
      <c r="E171" t="s">
        <v>165</v>
      </c>
      <c r="F171" t="s">
        <v>27</v>
      </c>
      <c r="G171" t="s">
        <v>541</v>
      </c>
      <c r="H171" t="s">
        <v>436</v>
      </c>
      <c r="I171" t="s">
        <v>131</v>
      </c>
      <c r="J171" t="s">
        <v>146</v>
      </c>
      <c r="K171" t="s">
        <v>24</v>
      </c>
      <c r="L171" t="s">
        <v>27</v>
      </c>
      <c r="M171" t="s">
        <v>132</v>
      </c>
      <c r="N171" t="s">
        <v>28</v>
      </c>
      <c r="O171" t="s">
        <v>15</v>
      </c>
      <c r="P171" t="s">
        <v>224</v>
      </c>
      <c r="Q171" t="s">
        <v>33</v>
      </c>
      <c r="R171" t="s">
        <v>163</v>
      </c>
      <c r="S171" t="s">
        <v>358</v>
      </c>
      <c r="T171" t="s">
        <v>290</v>
      </c>
      <c r="U171" t="s">
        <v>868</v>
      </c>
      <c r="V171" t="s">
        <v>1020</v>
      </c>
      <c r="W171" t="s">
        <v>9</v>
      </c>
      <c r="X171" t="s">
        <v>1579</v>
      </c>
      <c r="Y171" t="s">
        <v>1362</v>
      </c>
      <c r="Z171" t="s">
        <v>15</v>
      </c>
      <c r="AA171" t="s">
        <v>28</v>
      </c>
      <c r="AB171" t="s">
        <v>27</v>
      </c>
      <c r="AC171" t="s">
        <v>1580</v>
      </c>
      <c r="AD171" t="s">
        <v>135</v>
      </c>
      <c r="AE171" t="s">
        <v>1581</v>
      </c>
      <c r="AF171" t="s">
        <v>1582</v>
      </c>
      <c r="AG171" t="s">
        <v>801</v>
      </c>
      <c r="AH171" t="s">
        <v>499</v>
      </c>
      <c r="AI171" t="s">
        <v>1583</v>
      </c>
      <c r="AJ171" t="s">
        <v>125</v>
      </c>
      <c r="AK171" t="s">
        <v>33</v>
      </c>
      <c r="AL171" t="s">
        <v>1584</v>
      </c>
      <c r="AM171" t="s">
        <v>9</v>
      </c>
      <c r="AN171" t="s">
        <v>224</v>
      </c>
      <c r="AO171" t="s">
        <v>42</v>
      </c>
      <c r="AP171" t="s">
        <v>54</v>
      </c>
    </row>
    <row r="172" spans="1:42" x14ac:dyDescent="0.3">
      <c r="A172" t="s">
        <v>7</v>
      </c>
      <c r="B172" t="s">
        <v>109</v>
      </c>
      <c r="C172" t="s">
        <v>151</v>
      </c>
      <c r="D172" t="s">
        <v>182</v>
      </c>
      <c r="E172" t="s">
        <v>515</v>
      </c>
      <c r="F172" t="s">
        <v>9</v>
      </c>
      <c r="G172" t="s">
        <v>323</v>
      </c>
      <c r="H172" t="s">
        <v>1219</v>
      </c>
      <c r="I172" t="s">
        <v>111</v>
      </c>
      <c r="J172" t="s">
        <v>146</v>
      </c>
      <c r="K172" t="s">
        <v>27</v>
      </c>
      <c r="L172" t="s">
        <v>3</v>
      </c>
      <c r="M172" t="s">
        <v>421</v>
      </c>
      <c r="N172" t="s">
        <v>34</v>
      </c>
      <c r="O172" t="s">
        <v>24</v>
      </c>
      <c r="P172" t="s">
        <v>104</v>
      </c>
      <c r="Q172" t="s">
        <v>146</v>
      </c>
      <c r="R172" t="s">
        <v>356</v>
      </c>
      <c r="S172" t="s">
        <v>112</v>
      </c>
      <c r="T172" t="s">
        <v>700</v>
      </c>
      <c r="U172" t="s">
        <v>483</v>
      </c>
      <c r="V172" t="s">
        <v>625</v>
      </c>
      <c r="W172" t="s">
        <v>34</v>
      </c>
      <c r="X172" t="s">
        <v>639</v>
      </c>
      <c r="Y172" t="s">
        <v>1585</v>
      </c>
      <c r="Z172" t="s">
        <v>9</v>
      </c>
      <c r="AA172" t="s">
        <v>27</v>
      </c>
      <c r="AB172" t="s">
        <v>27</v>
      </c>
      <c r="AC172" t="s">
        <v>1586</v>
      </c>
      <c r="AD172" t="s">
        <v>127</v>
      </c>
      <c r="AE172" t="s">
        <v>1069</v>
      </c>
      <c r="AF172" t="s">
        <v>1587</v>
      </c>
      <c r="AG172" t="s">
        <v>675</v>
      </c>
      <c r="AH172" t="s">
        <v>757</v>
      </c>
      <c r="AI172" t="s">
        <v>1588</v>
      </c>
      <c r="AJ172" t="s">
        <v>252</v>
      </c>
      <c r="AK172" t="s">
        <v>14</v>
      </c>
      <c r="AL172" t="s">
        <v>280</v>
      </c>
      <c r="AM172" t="s">
        <v>15</v>
      </c>
      <c r="AN172" t="s">
        <v>433</v>
      </c>
      <c r="AO172" t="s">
        <v>126</v>
      </c>
      <c r="AP172" t="s">
        <v>54</v>
      </c>
    </row>
    <row r="173" spans="1:42" x14ac:dyDescent="0.3">
      <c r="A173" t="s">
        <v>18</v>
      </c>
      <c r="B173" t="s">
        <v>109</v>
      </c>
      <c r="C173" t="s">
        <v>151</v>
      </c>
      <c r="D173" t="s">
        <v>148</v>
      </c>
      <c r="E173" t="s">
        <v>127</v>
      </c>
      <c r="F173" t="s">
        <v>9</v>
      </c>
      <c r="G173" t="s">
        <v>732</v>
      </c>
      <c r="H173" t="s">
        <v>529</v>
      </c>
      <c r="I173" t="s">
        <v>185</v>
      </c>
      <c r="J173" t="s">
        <v>151</v>
      </c>
      <c r="K173" t="s">
        <v>3</v>
      </c>
      <c r="L173" t="s">
        <v>3</v>
      </c>
      <c r="M173" t="s">
        <v>171</v>
      </c>
      <c r="N173" t="s">
        <v>42</v>
      </c>
      <c r="O173" t="s">
        <v>3</v>
      </c>
      <c r="P173" t="s">
        <v>337</v>
      </c>
      <c r="Q173" t="s">
        <v>42</v>
      </c>
      <c r="R173" t="s">
        <v>197</v>
      </c>
      <c r="S173" t="s">
        <v>347</v>
      </c>
      <c r="T173" t="s">
        <v>776</v>
      </c>
      <c r="U173" t="s">
        <v>399</v>
      </c>
      <c r="V173" t="s">
        <v>1589</v>
      </c>
      <c r="W173" t="s">
        <v>33</v>
      </c>
      <c r="X173" t="s">
        <v>1590</v>
      </c>
      <c r="Y173" t="s">
        <v>533</v>
      </c>
      <c r="Z173" t="s">
        <v>9</v>
      </c>
      <c r="AA173" t="s">
        <v>24</v>
      </c>
      <c r="AB173" t="s">
        <v>9</v>
      </c>
      <c r="AC173" t="s">
        <v>1591</v>
      </c>
      <c r="AD173" t="s">
        <v>214</v>
      </c>
      <c r="AE173" t="s">
        <v>1592</v>
      </c>
      <c r="AF173" t="s">
        <v>1501</v>
      </c>
      <c r="AG173" t="s">
        <v>1593</v>
      </c>
      <c r="AH173" t="s">
        <v>836</v>
      </c>
      <c r="AI173" t="s">
        <v>1594</v>
      </c>
      <c r="AJ173" t="s">
        <v>124</v>
      </c>
      <c r="AK173" t="s">
        <v>14</v>
      </c>
      <c r="AL173" t="s">
        <v>199</v>
      </c>
      <c r="AM173" t="s">
        <v>14</v>
      </c>
      <c r="AN173" t="s">
        <v>202</v>
      </c>
      <c r="AO173" t="s">
        <v>151</v>
      </c>
      <c r="AP173" t="s">
        <v>54</v>
      </c>
    </row>
    <row r="174" spans="1:42" x14ac:dyDescent="0.3">
      <c r="A174" t="s">
        <v>55</v>
      </c>
      <c r="B174" t="s">
        <v>111</v>
      </c>
      <c r="C174" t="s">
        <v>164</v>
      </c>
      <c r="D174" t="s">
        <v>152</v>
      </c>
      <c r="E174" t="s">
        <v>268</v>
      </c>
      <c r="F174" t="s">
        <v>27</v>
      </c>
      <c r="G174" t="s">
        <v>1595</v>
      </c>
      <c r="H174" t="s">
        <v>502</v>
      </c>
      <c r="I174" t="s">
        <v>109</v>
      </c>
      <c r="J174" t="s">
        <v>33</v>
      </c>
      <c r="K174" t="s">
        <v>14</v>
      </c>
      <c r="L174" t="s">
        <v>15</v>
      </c>
      <c r="M174" t="s">
        <v>200</v>
      </c>
      <c r="N174" t="s">
        <v>34</v>
      </c>
      <c r="O174" t="s">
        <v>14</v>
      </c>
      <c r="P174" t="s">
        <v>105</v>
      </c>
      <c r="Q174" t="s">
        <v>146</v>
      </c>
      <c r="R174" t="s">
        <v>325</v>
      </c>
      <c r="S174" t="s">
        <v>614</v>
      </c>
      <c r="T174" t="s">
        <v>876</v>
      </c>
      <c r="U174" t="s">
        <v>354</v>
      </c>
      <c r="V174" t="s">
        <v>1020</v>
      </c>
      <c r="W174" t="s">
        <v>24</v>
      </c>
      <c r="X174" t="s">
        <v>1596</v>
      </c>
      <c r="Y174" t="s">
        <v>1146</v>
      </c>
      <c r="Z174" t="s">
        <v>24</v>
      </c>
      <c r="AA174" t="s">
        <v>27</v>
      </c>
      <c r="AB174" t="s">
        <v>14</v>
      </c>
      <c r="AC174" t="s">
        <v>1597</v>
      </c>
      <c r="AD174" t="s">
        <v>135</v>
      </c>
      <c r="AE174" t="s">
        <v>1598</v>
      </c>
      <c r="AF174" t="s">
        <v>1599</v>
      </c>
      <c r="AG174" t="s">
        <v>835</v>
      </c>
      <c r="AH174" t="s">
        <v>1600</v>
      </c>
      <c r="AI174" t="s">
        <v>1601</v>
      </c>
      <c r="AJ174" t="s">
        <v>148</v>
      </c>
      <c r="AK174" t="s">
        <v>9</v>
      </c>
      <c r="AL174" t="s">
        <v>1602</v>
      </c>
      <c r="AM174" t="s">
        <v>15</v>
      </c>
      <c r="AN174" t="s">
        <v>200</v>
      </c>
      <c r="AO174" t="s">
        <v>302</v>
      </c>
      <c r="AP174" t="s">
        <v>54</v>
      </c>
    </row>
    <row r="175" spans="1:42" x14ac:dyDescent="0.3">
      <c r="A175" t="s">
        <v>35</v>
      </c>
      <c r="B175" t="s">
        <v>111</v>
      </c>
      <c r="C175" t="s">
        <v>113</v>
      </c>
      <c r="D175" t="s">
        <v>200</v>
      </c>
      <c r="E175" t="s">
        <v>127</v>
      </c>
      <c r="F175" t="s">
        <v>14</v>
      </c>
      <c r="G175" t="s">
        <v>1603</v>
      </c>
      <c r="H175" t="s">
        <v>213</v>
      </c>
      <c r="I175" t="s">
        <v>146</v>
      </c>
      <c r="J175" t="s">
        <v>113</v>
      </c>
      <c r="K175" t="s">
        <v>27</v>
      </c>
      <c r="L175" t="s">
        <v>15</v>
      </c>
      <c r="M175" t="s">
        <v>171</v>
      </c>
      <c r="N175" t="s">
        <v>14</v>
      </c>
      <c r="O175" t="s">
        <v>3</v>
      </c>
      <c r="P175" t="s">
        <v>154</v>
      </c>
      <c r="Q175" t="s">
        <v>113</v>
      </c>
      <c r="R175" t="s">
        <v>163</v>
      </c>
      <c r="S175" t="s">
        <v>915</v>
      </c>
      <c r="T175" t="s">
        <v>226</v>
      </c>
      <c r="U175" t="s">
        <v>618</v>
      </c>
      <c r="V175" t="s">
        <v>375</v>
      </c>
      <c r="W175" t="s">
        <v>9</v>
      </c>
      <c r="X175" t="s">
        <v>1604</v>
      </c>
      <c r="Y175" t="s">
        <v>1048</v>
      </c>
      <c r="Z175" t="s">
        <v>15</v>
      </c>
      <c r="AA175" t="s">
        <v>33</v>
      </c>
      <c r="AB175" t="s">
        <v>24</v>
      </c>
      <c r="AC175" t="s">
        <v>1605</v>
      </c>
      <c r="AD175" t="s">
        <v>237</v>
      </c>
      <c r="AE175" t="s">
        <v>1606</v>
      </c>
      <c r="AF175" t="s">
        <v>1607</v>
      </c>
      <c r="AG175" t="s">
        <v>1518</v>
      </c>
      <c r="AH175" t="s">
        <v>1159</v>
      </c>
      <c r="AI175" t="s">
        <v>1608</v>
      </c>
      <c r="AJ175" t="s">
        <v>125</v>
      </c>
      <c r="AK175" t="s">
        <v>27</v>
      </c>
      <c r="AL175" t="s">
        <v>1071</v>
      </c>
      <c r="AM175" t="s">
        <v>3</v>
      </c>
      <c r="AN175" t="s">
        <v>558</v>
      </c>
      <c r="AO175" t="s">
        <v>185</v>
      </c>
      <c r="AP175" t="s">
        <v>54</v>
      </c>
    </row>
    <row r="176" spans="1:42" x14ac:dyDescent="0.3">
      <c r="A176" t="s">
        <v>6</v>
      </c>
      <c r="B176" t="s">
        <v>146</v>
      </c>
      <c r="C176" t="s">
        <v>145</v>
      </c>
      <c r="D176" t="s">
        <v>336</v>
      </c>
      <c r="E176" t="s">
        <v>568</v>
      </c>
      <c r="F176" t="s">
        <v>33</v>
      </c>
      <c r="G176" t="s">
        <v>346</v>
      </c>
      <c r="H176" t="s">
        <v>504</v>
      </c>
      <c r="I176" t="s">
        <v>24</v>
      </c>
      <c r="J176" t="s">
        <v>33</v>
      </c>
      <c r="K176" t="s">
        <v>3</v>
      </c>
      <c r="L176" t="s">
        <v>3</v>
      </c>
      <c r="M176" t="s">
        <v>103</v>
      </c>
      <c r="N176" t="s">
        <v>14</v>
      </c>
      <c r="O176" t="s">
        <v>9</v>
      </c>
      <c r="P176" t="s">
        <v>568</v>
      </c>
      <c r="Q176" t="s">
        <v>146</v>
      </c>
      <c r="R176" t="s">
        <v>147</v>
      </c>
      <c r="S176" t="s">
        <v>889</v>
      </c>
      <c r="T176" t="s">
        <v>366</v>
      </c>
      <c r="U176" t="s">
        <v>1176</v>
      </c>
      <c r="V176" t="s">
        <v>1609</v>
      </c>
      <c r="W176" t="s">
        <v>28</v>
      </c>
      <c r="X176" t="s">
        <v>1171</v>
      </c>
      <c r="Y176" t="s">
        <v>898</v>
      </c>
      <c r="Z176" t="s">
        <v>3</v>
      </c>
      <c r="AA176" t="s">
        <v>27</v>
      </c>
      <c r="AB176" t="s">
        <v>27</v>
      </c>
      <c r="AC176" t="s">
        <v>1610</v>
      </c>
      <c r="AD176" t="s">
        <v>131</v>
      </c>
      <c r="AE176" t="s">
        <v>1611</v>
      </c>
      <c r="AF176" t="s">
        <v>1612</v>
      </c>
      <c r="AG176" t="s">
        <v>1024</v>
      </c>
      <c r="AH176" t="s">
        <v>1159</v>
      </c>
      <c r="AI176" t="s">
        <v>1613</v>
      </c>
      <c r="AJ176" t="s">
        <v>302</v>
      </c>
      <c r="AK176" t="s">
        <v>9</v>
      </c>
      <c r="AL176" t="s">
        <v>1230</v>
      </c>
      <c r="AM176" t="s">
        <v>15</v>
      </c>
      <c r="AN176" t="s">
        <v>224</v>
      </c>
      <c r="AO176" t="s">
        <v>269</v>
      </c>
      <c r="AP176" t="s">
        <v>54</v>
      </c>
    </row>
    <row r="177" spans="1:42" x14ac:dyDescent="0.3">
      <c r="A177" t="s">
        <v>10</v>
      </c>
      <c r="B177" t="s">
        <v>146</v>
      </c>
      <c r="C177" t="s">
        <v>164</v>
      </c>
      <c r="D177" t="s">
        <v>421</v>
      </c>
      <c r="E177" t="s">
        <v>154</v>
      </c>
      <c r="F177" t="s">
        <v>33</v>
      </c>
      <c r="G177" t="s">
        <v>1202</v>
      </c>
      <c r="H177" t="s">
        <v>470</v>
      </c>
      <c r="I177" t="s">
        <v>28</v>
      </c>
      <c r="J177" t="s">
        <v>33</v>
      </c>
      <c r="K177" t="s">
        <v>3</v>
      </c>
      <c r="L177" t="s">
        <v>15</v>
      </c>
      <c r="M177" t="s">
        <v>291</v>
      </c>
      <c r="N177" t="s">
        <v>28</v>
      </c>
      <c r="O177" t="s">
        <v>3</v>
      </c>
      <c r="P177" t="s">
        <v>200</v>
      </c>
      <c r="Q177" t="s">
        <v>34</v>
      </c>
      <c r="R177" t="s">
        <v>165</v>
      </c>
      <c r="S177" t="s">
        <v>359</v>
      </c>
      <c r="T177" t="s">
        <v>377</v>
      </c>
      <c r="U177" t="s">
        <v>1614</v>
      </c>
      <c r="V177" t="s">
        <v>742</v>
      </c>
      <c r="W177" t="s">
        <v>28</v>
      </c>
      <c r="X177" t="s">
        <v>1615</v>
      </c>
      <c r="Y177" t="s">
        <v>1530</v>
      </c>
      <c r="Z177" t="s">
        <v>3</v>
      </c>
      <c r="AA177" t="s">
        <v>27</v>
      </c>
      <c r="AB177" t="s">
        <v>27</v>
      </c>
      <c r="AC177" t="s">
        <v>1616</v>
      </c>
      <c r="AD177" t="s">
        <v>147</v>
      </c>
      <c r="AE177" t="s">
        <v>220</v>
      </c>
      <c r="AF177" t="s">
        <v>1617</v>
      </c>
      <c r="AG177" t="s">
        <v>230</v>
      </c>
      <c r="AH177" t="s">
        <v>986</v>
      </c>
      <c r="AI177" t="s">
        <v>1618</v>
      </c>
      <c r="AJ177" t="s">
        <v>291</v>
      </c>
      <c r="AK177" t="s">
        <v>14</v>
      </c>
      <c r="AL177" t="s">
        <v>581</v>
      </c>
      <c r="AM177" t="s">
        <v>15</v>
      </c>
      <c r="AN177" t="s">
        <v>169</v>
      </c>
      <c r="AO177" t="s">
        <v>108</v>
      </c>
      <c r="AP177" t="s">
        <v>54</v>
      </c>
    </row>
    <row r="178" spans="1:42" x14ac:dyDescent="0.3">
      <c r="A178" t="s">
        <v>38</v>
      </c>
      <c r="B178" t="s">
        <v>34</v>
      </c>
      <c r="C178" t="s">
        <v>164</v>
      </c>
      <c r="D178" t="s">
        <v>423</v>
      </c>
      <c r="E178" t="s">
        <v>172</v>
      </c>
      <c r="F178" t="s">
        <v>28</v>
      </c>
      <c r="G178" t="s">
        <v>1464</v>
      </c>
      <c r="H178" t="s">
        <v>915</v>
      </c>
      <c r="I178" t="s">
        <v>111</v>
      </c>
      <c r="J178" t="s">
        <v>146</v>
      </c>
      <c r="K178" t="s">
        <v>3</v>
      </c>
      <c r="L178" t="s">
        <v>15</v>
      </c>
      <c r="M178" t="s">
        <v>264</v>
      </c>
      <c r="N178" t="s">
        <v>14</v>
      </c>
      <c r="O178" t="s">
        <v>9</v>
      </c>
      <c r="P178" t="s">
        <v>110</v>
      </c>
      <c r="Q178" t="s">
        <v>146</v>
      </c>
      <c r="R178" t="s">
        <v>163</v>
      </c>
      <c r="S178" t="s">
        <v>313</v>
      </c>
      <c r="T178" t="s">
        <v>595</v>
      </c>
      <c r="U178" t="s">
        <v>786</v>
      </c>
      <c r="V178" t="s">
        <v>840</v>
      </c>
      <c r="W178" t="s">
        <v>9</v>
      </c>
      <c r="X178" t="s">
        <v>1019</v>
      </c>
      <c r="Y178" t="s">
        <v>1619</v>
      </c>
      <c r="Z178" t="s">
        <v>15</v>
      </c>
      <c r="AA178" t="s">
        <v>14</v>
      </c>
      <c r="AB178" t="s">
        <v>3</v>
      </c>
      <c r="AC178" t="s">
        <v>1620</v>
      </c>
      <c r="AD178" t="s">
        <v>108</v>
      </c>
      <c r="AE178" t="s">
        <v>1621</v>
      </c>
      <c r="AF178" t="s">
        <v>1622</v>
      </c>
      <c r="AG178" t="s">
        <v>594</v>
      </c>
      <c r="AH178" t="s">
        <v>422</v>
      </c>
      <c r="AI178" t="s">
        <v>1623</v>
      </c>
      <c r="AJ178" t="s">
        <v>135</v>
      </c>
      <c r="AK178" t="s">
        <v>33</v>
      </c>
      <c r="AL178" t="s">
        <v>1624</v>
      </c>
      <c r="AM178" t="s">
        <v>9</v>
      </c>
      <c r="AN178" t="s">
        <v>240</v>
      </c>
      <c r="AO178" t="s">
        <v>133</v>
      </c>
      <c r="AP178" t="s">
        <v>54</v>
      </c>
    </row>
    <row r="179" spans="1:42" x14ac:dyDescent="0.3">
      <c r="A179" t="s">
        <v>46</v>
      </c>
      <c r="B179" t="s">
        <v>34</v>
      </c>
      <c r="C179" t="s">
        <v>126</v>
      </c>
      <c r="D179" t="s">
        <v>214</v>
      </c>
      <c r="E179" t="s">
        <v>503</v>
      </c>
      <c r="F179" t="s">
        <v>14</v>
      </c>
      <c r="G179" t="s">
        <v>518</v>
      </c>
      <c r="H179" t="s">
        <v>959</v>
      </c>
      <c r="I179" t="s">
        <v>113</v>
      </c>
      <c r="J179" t="s">
        <v>146</v>
      </c>
      <c r="K179" t="s">
        <v>14</v>
      </c>
      <c r="L179" t="s">
        <v>3</v>
      </c>
      <c r="M179" t="s">
        <v>291</v>
      </c>
      <c r="N179" t="s">
        <v>34</v>
      </c>
      <c r="O179" t="s">
        <v>3</v>
      </c>
      <c r="P179" t="s">
        <v>115</v>
      </c>
      <c r="Q179" t="s">
        <v>28</v>
      </c>
      <c r="R179" t="s">
        <v>172</v>
      </c>
      <c r="S179" t="s">
        <v>228</v>
      </c>
      <c r="T179" t="s">
        <v>648</v>
      </c>
      <c r="U179" t="s">
        <v>1149</v>
      </c>
      <c r="V179" t="s">
        <v>691</v>
      </c>
      <c r="W179" t="s">
        <v>28</v>
      </c>
      <c r="X179" t="s">
        <v>1625</v>
      </c>
      <c r="Y179" t="s">
        <v>907</v>
      </c>
      <c r="Z179" t="s">
        <v>27</v>
      </c>
      <c r="AA179" t="s">
        <v>27</v>
      </c>
      <c r="AB179" t="s">
        <v>9</v>
      </c>
      <c r="AC179" t="s">
        <v>1626</v>
      </c>
      <c r="AD179" t="s">
        <v>181</v>
      </c>
      <c r="AE179" t="s">
        <v>1183</v>
      </c>
      <c r="AF179" t="s">
        <v>1627</v>
      </c>
      <c r="AG179" t="s">
        <v>1399</v>
      </c>
      <c r="AH179" t="s">
        <v>1106</v>
      </c>
      <c r="AI179" t="s">
        <v>455</v>
      </c>
      <c r="AJ179" t="s">
        <v>486</v>
      </c>
      <c r="AK179" t="s">
        <v>28</v>
      </c>
      <c r="AL179" t="s">
        <v>1202</v>
      </c>
      <c r="AM179" t="s">
        <v>9</v>
      </c>
      <c r="AN179" t="s">
        <v>147</v>
      </c>
      <c r="AO179" t="s">
        <v>145</v>
      </c>
      <c r="AP179" t="s">
        <v>54</v>
      </c>
    </row>
    <row r="180" spans="1:42" x14ac:dyDescent="0.3">
      <c r="A180" t="s">
        <v>40</v>
      </c>
      <c r="B180" t="s">
        <v>33</v>
      </c>
      <c r="C180" t="s">
        <v>164</v>
      </c>
      <c r="D180" t="s">
        <v>103</v>
      </c>
      <c r="E180" t="s">
        <v>127</v>
      </c>
      <c r="F180" t="s">
        <v>9</v>
      </c>
      <c r="G180" t="s">
        <v>1628</v>
      </c>
      <c r="H180" t="s">
        <v>504</v>
      </c>
      <c r="I180" t="s">
        <v>185</v>
      </c>
      <c r="J180" t="s">
        <v>34</v>
      </c>
      <c r="K180" t="s">
        <v>3</v>
      </c>
      <c r="L180" t="s">
        <v>3</v>
      </c>
      <c r="M180" t="s">
        <v>126</v>
      </c>
      <c r="N180" t="s">
        <v>27</v>
      </c>
      <c r="O180" t="s">
        <v>15</v>
      </c>
      <c r="P180" t="s">
        <v>127</v>
      </c>
      <c r="Q180" t="s">
        <v>146</v>
      </c>
      <c r="R180" t="s">
        <v>169</v>
      </c>
      <c r="S180" t="s">
        <v>188</v>
      </c>
      <c r="T180" t="s">
        <v>908</v>
      </c>
      <c r="U180" t="s">
        <v>1629</v>
      </c>
      <c r="V180" t="s">
        <v>1630</v>
      </c>
      <c r="W180" t="s">
        <v>14</v>
      </c>
      <c r="X180" t="s">
        <v>1631</v>
      </c>
      <c r="Y180" t="s">
        <v>1270</v>
      </c>
      <c r="Z180" t="s">
        <v>9</v>
      </c>
      <c r="AA180" t="s">
        <v>24</v>
      </c>
      <c r="AB180" t="s">
        <v>14</v>
      </c>
      <c r="AC180" t="s">
        <v>1394</v>
      </c>
      <c r="AD180" t="s">
        <v>181</v>
      </c>
      <c r="AE180" t="s">
        <v>1632</v>
      </c>
      <c r="AF180" t="s">
        <v>1633</v>
      </c>
      <c r="AG180" t="s">
        <v>260</v>
      </c>
      <c r="AH180" t="s">
        <v>1159</v>
      </c>
      <c r="AI180" t="s">
        <v>1634</v>
      </c>
      <c r="AJ180" t="s">
        <v>114</v>
      </c>
      <c r="AK180" t="s">
        <v>34</v>
      </c>
      <c r="AL180" t="s">
        <v>1635</v>
      </c>
      <c r="AM180" t="s">
        <v>9</v>
      </c>
      <c r="AN180" t="s">
        <v>169</v>
      </c>
      <c r="AO180" t="s">
        <v>151</v>
      </c>
      <c r="AP180" t="s">
        <v>54</v>
      </c>
    </row>
    <row r="181" spans="1:42" x14ac:dyDescent="0.3">
      <c r="A181" t="s">
        <v>29</v>
      </c>
      <c r="B181" t="s">
        <v>33</v>
      </c>
      <c r="C181" t="s">
        <v>131</v>
      </c>
      <c r="D181" t="s">
        <v>336</v>
      </c>
      <c r="E181" t="s">
        <v>358</v>
      </c>
      <c r="F181" t="s">
        <v>9</v>
      </c>
      <c r="G181" t="s">
        <v>1636</v>
      </c>
      <c r="H181" t="s">
        <v>701</v>
      </c>
      <c r="I181" t="s">
        <v>111</v>
      </c>
      <c r="J181" t="s">
        <v>34</v>
      </c>
      <c r="K181" t="s">
        <v>27</v>
      </c>
      <c r="L181" t="s">
        <v>9</v>
      </c>
      <c r="M181" t="s">
        <v>125</v>
      </c>
      <c r="N181" t="s">
        <v>28</v>
      </c>
      <c r="O181" t="s">
        <v>9</v>
      </c>
      <c r="P181" t="s">
        <v>699</v>
      </c>
      <c r="Q181" t="s">
        <v>185</v>
      </c>
      <c r="R181" t="s">
        <v>169</v>
      </c>
      <c r="S181" t="s">
        <v>266</v>
      </c>
      <c r="T181" t="s">
        <v>1072</v>
      </c>
      <c r="U181" t="s">
        <v>678</v>
      </c>
      <c r="V181" t="s">
        <v>1524</v>
      </c>
      <c r="W181" t="s">
        <v>27</v>
      </c>
      <c r="X181" t="s">
        <v>524</v>
      </c>
      <c r="Y181" t="s">
        <v>250</v>
      </c>
      <c r="Z181" t="s">
        <v>24</v>
      </c>
      <c r="AA181" t="s">
        <v>27</v>
      </c>
      <c r="AB181" t="s">
        <v>27</v>
      </c>
      <c r="AC181" t="s">
        <v>1637</v>
      </c>
      <c r="AD181" t="s">
        <v>421</v>
      </c>
      <c r="AE181" t="s">
        <v>1638</v>
      </c>
      <c r="AF181" t="s">
        <v>1639</v>
      </c>
      <c r="AG181" t="s">
        <v>398</v>
      </c>
      <c r="AH181" t="s">
        <v>251</v>
      </c>
      <c r="AI181" t="s">
        <v>1640</v>
      </c>
      <c r="AJ181" t="s">
        <v>133</v>
      </c>
      <c r="AK181" t="s">
        <v>14</v>
      </c>
      <c r="AL181" t="s">
        <v>1138</v>
      </c>
      <c r="AM181" t="s">
        <v>15</v>
      </c>
      <c r="AN181" t="s">
        <v>324</v>
      </c>
      <c r="AO181" t="s">
        <v>181</v>
      </c>
      <c r="AP181" t="s">
        <v>54</v>
      </c>
    </row>
    <row r="182" spans="1:42" x14ac:dyDescent="0.3">
      <c r="A182" t="s">
        <v>55</v>
      </c>
      <c r="B182" t="s">
        <v>133</v>
      </c>
      <c r="C182" t="s">
        <v>14</v>
      </c>
      <c r="D182" t="s">
        <v>322</v>
      </c>
      <c r="E182" t="s">
        <v>182</v>
      </c>
      <c r="F182" t="s">
        <v>14</v>
      </c>
      <c r="G182" t="s">
        <v>945</v>
      </c>
      <c r="H182" t="s">
        <v>1106</v>
      </c>
      <c r="I182" t="s">
        <v>111</v>
      </c>
      <c r="J182" t="s">
        <v>111</v>
      </c>
      <c r="K182" t="s">
        <v>146</v>
      </c>
      <c r="L182" t="s">
        <v>15</v>
      </c>
      <c r="M182" t="s">
        <v>154</v>
      </c>
      <c r="N182" t="s">
        <v>14</v>
      </c>
      <c r="O182" t="s">
        <v>28</v>
      </c>
      <c r="P182" t="s">
        <v>356</v>
      </c>
      <c r="Q182" t="s">
        <v>151</v>
      </c>
      <c r="R182" t="s">
        <v>240</v>
      </c>
      <c r="S182" t="s">
        <v>600</v>
      </c>
      <c r="T182" t="s">
        <v>1219</v>
      </c>
      <c r="U182" t="s">
        <v>476</v>
      </c>
      <c r="V182" t="s">
        <v>1641</v>
      </c>
      <c r="W182" t="s">
        <v>15</v>
      </c>
      <c r="X182" t="s">
        <v>1642</v>
      </c>
      <c r="Y182" t="s">
        <v>1555</v>
      </c>
      <c r="Z182" t="s">
        <v>15</v>
      </c>
      <c r="AA182" t="s">
        <v>27</v>
      </c>
      <c r="AB182" t="s">
        <v>27</v>
      </c>
      <c r="AC182" t="s">
        <v>1643</v>
      </c>
      <c r="AD182" t="s">
        <v>187</v>
      </c>
      <c r="AE182" t="s">
        <v>1644</v>
      </c>
      <c r="AF182" t="s">
        <v>1030</v>
      </c>
      <c r="AG182" t="s">
        <v>973</v>
      </c>
      <c r="AH182" t="s">
        <v>1041</v>
      </c>
      <c r="AI182" t="s">
        <v>1645</v>
      </c>
      <c r="AJ182" t="s">
        <v>345</v>
      </c>
      <c r="AK182" t="s">
        <v>33</v>
      </c>
      <c r="AL182" t="s">
        <v>1646</v>
      </c>
      <c r="AM182" t="s">
        <v>15</v>
      </c>
      <c r="AN182" t="s">
        <v>268</v>
      </c>
      <c r="AO182" t="s">
        <v>135</v>
      </c>
      <c r="AP182" t="s">
        <v>56</v>
      </c>
    </row>
    <row r="183" spans="1:42" x14ac:dyDescent="0.3">
      <c r="A183" t="s">
        <v>5</v>
      </c>
      <c r="B183" t="s">
        <v>145</v>
      </c>
      <c r="C183" t="s">
        <v>33</v>
      </c>
      <c r="D183" t="s">
        <v>154</v>
      </c>
      <c r="E183" t="s">
        <v>421</v>
      </c>
      <c r="F183" t="s">
        <v>27</v>
      </c>
      <c r="G183" t="s">
        <v>1169</v>
      </c>
      <c r="H183" t="s">
        <v>1600</v>
      </c>
      <c r="I183" t="s">
        <v>108</v>
      </c>
      <c r="J183" t="s">
        <v>185</v>
      </c>
      <c r="K183" t="s">
        <v>3</v>
      </c>
      <c r="L183" t="s">
        <v>3</v>
      </c>
      <c r="M183" t="s">
        <v>345</v>
      </c>
      <c r="N183" t="s">
        <v>27</v>
      </c>
      <c r="O183" t="s">
        <v>14</v>
      </c>
      <c r="P183" t="s">
        <v>527</v>
      </c>
      <c r="Q183" t="s">
        <v>269</v>
      </c>
      <c r="R183" t="s">
        <v>240</v>
      </c>
      <c r="S183" t="s">
        <v>929</v>
      </c>
      <c r="T183" t="s">
        <v>188</v>
      </c>
      <c r="U183" t="s">
        <v>1056</v>
      </c>
      <c r="V183" t="s">
        <v>878</v>
      </c>
      <c r="W183" t="s">
        <v>27</v>
      </c>
      <c r="X183" t="s">
        <v>286</v>
      </c>
      <c r="Y183" t="s">
        <v>346</v>
      </c>
      <c r="Z183" t="s">
        <v>14</v>
      </c>
      <c r="AA183" t="s">
        <v>3</v>
      </c>
      <c r="AB183" t="s">
        <v>3</v>
      </c>
      <c r="AC183" t="s">
        <v>1647</v>
      </c>
      <c r="AD183" t="s">
        <v>1072</v>
      </c>
      <c r="AE183" t="s">
        <v>1648</v>
      </c>
      <c r="AF183" t="s">
        <v>1649</v>
      </c>
      <c r="AG183" t="s">
        <v>1005</v>
      </c>
      <c r="AH183" t="s">
        <v>1535</v>
      </c>
      <c r="AI183" t="s">
        <v>1650</v>
      </c>
      <c r="AJ183" t="s">
        <v>699</v>
      </c>
      <c r="AK183" t="s">
        <v>14</v>
      </c>
      <c r="AL183" t="s">
        <v>434</v>
      </c>
      <c r="AM183" t="s">
        <v>15</v>
      </c>
      <c r="AN183" t="s">
        <v>249</v>
      </c>
      <c r="AO183" t="s">
        <v>145</v>
      </c>
      <c r="AP183" t="s">
        <v>56</v>
      </c>
    </row>
    <row r="184" spans="1:42" x14ac:dyDescent="0.3">
      <c r="A184" t="s">
        <v>26</v>
      </c>
      <c r="B184" t="s">
        <v>164</v>
      </c>
      <c r="C184" t="s">
        <v>146</v>
      </c>
      <c r="D184" t="s">
        <v>433</v>
      </c>
      <c r="E184" t="s">
        <v>345</v>
      </c>
      <c r="F184" t="s">
        <v>15</v>
      </c>
      <c r="G184" t="s">
        <v>1630</v>
      </c>
      <c r="H184" t="s">
        <v>676</v>
      </c>
      <c r="I184" t="s">
        <v>151</v>
      </c>
      <c r="J184" t="s">
        <v>185</v>
      </c>
      <c r="K184" t="s">
        <v>24</v>
      </c>
      <c r="L184" t="s">
        <v>15</v>
      </c>
      <c r="M184" t="s">
        <v>147</v>
      </c>
      <c r="N184" t="s">
        <v>131</v>
      </c>
      <c r="O184" t="s">
        <v>24</v>
      </c>
      <c r="P184" t="s">
        <v>165</v>
      </c>
      <c r="Q184" t="s">
        <v>113</v>
      </c>
      <c r="R184" t="s">
        <v>132</v>
      </c>
      <c r="S184" t="s">
        <v>527</v>
      </c>
      <c r="T184" t="s">
        <v>515</v>
      </c>
      <c r="U184" t="s">
        <v>1651</v>
      </c>
      <c r="V184" t="s">
        <v>832</v>
      </c>
      <c r="W184" t="s">
        <v>14</v>
      </c>
      <c r="X184" t="s">
        <v>926</v>
      </c>
      <c r="Y184" t="s">
        <v>1652</v>
      </c>
      <c r="Z184" t="s">
        <v>3</v>
      </c>
      <c r="AA184" t="s">
        <v>3</v>
      </c>
      <c r="AB184" t="s">
        <v>3</v>
      </c>
      <c r="AC184" t="s">
        <v>1653</v>
      </c>
      <c r="AD184" t="s">
        <v>198</v>
      </c>
      <c r="AE184" t="s">
        <v>1654</v>
      </c>
      <c r="AF184" t="s">
        <v>1655</v>
      </c>
      <c r="AG184" t="s">
        <v>561</v>
      </c>
      <c r="AH184" t="s">
        <v>609</v>
      </c>
      <c r="AI184" t="s">
        <v>1656</v>
      </c>
      <c r="AJ184" t="s">
        <v>356</v>
      </c>
      <c r="AK184" t="s">
        <v>9</v>
      </c>
      <c r="AL184" t="s">
        <v>1196</v>
      </c>
      <c r="AM184" t="s">
        <v>15</v>
      </c>
      <c r="AN184" t="s">
        <v>200</v>
      </c>
      <c r="AO184" t="s">
        <v>132</v>
      </c>
      <c r="AP184" t="s">
        <v>56</v>
      </c>
    </row>
    <row r="185" spans="1:42" x14ac:dyDescent="0.3">
      <c r="A185" t="s">
        <v>22</v>
      </c>
      <c r="B185" t="s">
        <v>164</v>
      </c>
      <c r="C185" t="s">
        <v>146</v>
      </c>
      <c r="D185" t="s">
        <v>268</v>
      </c>
      <c r="E185" t="s">
        <v>154</v>
      </c>
      <c r="F185" t="s">
        <v>3</v>
      </c>
      <c r="G185" t="s">
        <v>1628</v>
      </c>
      <c r="H185" t="s">
        <v>266</v>
      </c>
      <c r="I185" t="s">
        <v>42</v>
      </c>
      <c r="J185" t="s">
        <v>24</v>
      </c>
      <c r="K185" t="s">
        <v>14</v>
      </c>
      <c r="L185" t="s">
        <v>3</v>
      </c>
      <c r="M185" t="s">
        <v>148</v>
      </c>
      <c r="N185" t="s">
        <v>24</v>
      </c>
      <c r="O185" t="s">
        <v>9</v>
      </c>
      <c r="P185" t="s">
        <v>503</v>
      </c>
      <c r="Q185" t="s">
        <v>269</v>
      </c>
      <c r="R185" t="s">
        <v>171</v>
      </c>
      <c r="S185" t="s">
        <v>383</v>
      </c>
      <c r="T185" t="s">
        <v>254</v>
      </c>
      <c r="U185" t="s">
        <v>1657</v>
      </c>
      <c r="V185" t="s">
        <v>954</v>
      </c>
      <c r="W185" t="s">
        <v>27</v>
      </c>
      <c r="X185" t="s">
        <v>937</v>
      </c>
      <c r="Y185" t="s">
        <v>992</v>
      </c>
      <c r="Z185" t="s">
        <v>9</v>
      </c>
      <c r="AA185" t="s">
        <v>9</v>
      </c>
      <c r="AB185" t="s">
        <v>9</v>
      </c>
      <c r="AC185" t="s">
        <v>1658</v>
      </c>
      <c r="AD185" t="s">
        <v>227</v>
      </c>
      <c r="AE185" t="s">
        <v>318</v>
      </c>
      <c r="AF185" t="s">
        <v>1659</v>
      </c>
      <c r="AG185" t="s">
        <v>1660</v>
      </c>
      <c r="AH185" t="s">
        <v>1661</v>
      </c>
      <c r="AI185" t="s">
        <v>1662</v>
      </c>
      <c r="AJ185" t="s">
        <v>103</v>
      </c>
      <c r="AK185" t="s">
        <v>27</v>
      </c>
      <c r="AL185" t="s">
        <v>945</v>
      </c>
      <c r="AM185" t="s">
        <v>15</v>
      </c>
      <c r="AN185" t="s">
        <v>303</v>
      </c>
      <c r="AO185" t="s">
        <v>185</v>
      </c>
      <c r="AP185" t="s">
        <v>56</v>
      </c>
    </row>
    <row r="186" spans="1:42" x14ac:dyDescent="0.3">
      <c r="A186" t="s">
        <v>21</v>
      </c>
      <c r="B186" t="s">
        <v>164</v>
      </c>
      <c r="C186" t="s">
        <v>28</v>
      </c>
      <c r="D186" t="s">
        <v>699</v>
      </c>
      <c r="E186" t="s">
        <v>110</v>
      </c>
      <c r="F186" t="s">
        <v>15</v>
      </c>
      <c r="G186" t="s">
        <v>800</v>
      </c>
      <c r="H186" t="s">
        <v>975</v>
      </c>
      <c r="I186" t="s">
        <v>164</v>
      </c>
      <c r="J186" t="s">
        <v>33</v>
      </c>
      <c r="K186" t="s">
        <v>24</v>
      </c>
      <c r="L186" t="s">
        <v>9</v>
      </c>
      <c r="M186" t="s">
        <v>166</v>
      </c>
      <c r="N186" t="s">
        <v>146</v>
      </c>
      <c r="O186" t="s">
        <v>14</v>
      </c>
      <c r="P186" t="s">
        <v>110</v>
      </c>
      <c r="Q186" t="s">
        <v>185</v>
      </c>
      <c r="R186" t="s">
        <v>171</v>
      </c>
      <c r="S186" t="s">
        <v>267</v>
      </c>
      <c r="T186" t="s">
        <v>312</v>
      </c>
      <c r="U186" t="s">
        <v>1663</v>
      </c>
      <c r="V186" t="s">
        <v>849</v>
      </c>
      <c r="W186" t="s">
        <v>3</v>
      </c>
      <c r="X186" t="s">
        <v>1664</v>
      </c>
      <c r="Y186" t="s">
        <v>1665</v>
      </c>
      <c r="Z186" t="s">
        <v>14</v>
      </c>
      <c r="AA186" t="s">
        <v>9</v>
      </c>
      <c r="AB186" t="s">
        <v>9</v>
      </c>
      <c r="AC186" t="s">
        <v>1666</v>
      </c>
      <c r="AD186" t="s">
        <v>127</v>
      </c>
      <c r="AE186" t="s">
        <v>1667</v>
      </c>
      <c r="AF186" t="s">
        <v>1668</v>
      </c>
      <c r="AG186" t="s">
        <v>640</v>
      </c>
      <c r="AH186" t="s">
        <v>116</v>
      </c>
      <c r="AI186" t="s">
        <v>1669</v>
      </c>
      <c r="AJ186" t="s">
        <v>197</v>
      </c>
      <c r="AK186" t="s">
        <v>9</v>
      </c>
      <c r="AL186" t="s">
        <v>783</v>
      </c>
      <c r="AM186" t="s">
        <v>15</v>
      </c>
      <c r="AN186" t="s">
        <v>200</v>
      </c>
      <c r="AO186" t="s">
        <v>114</v>
      </c>
      <c r="AP186" t="s">
        <v>56</v>
      </c>
    </row>
    <row r="187" spans="1:42" x14ac:dyDescent="0.3">
      <c r="A187" t="s">
        <v>50</v>
      </c>
      <c r="B187" t="s">
        <v>269</v>
      </c>
      <c r="C187" t="s">
        <v>111</v>
      </c>
      <c r="D187" t="s">
        <v>166</v>
      </c>
      <c r="E187" t="s">
        <v>147</v>
      </c>
      <c r="F187" t="s">
        <v>28</v>
      </c>
      <c r="G187" t="s">
        <v>1228</v>
      </c>
      <c r="H187" t="s">
        <v>1219</v>
      </c>
      <c r="I187" t="s">
        <v>185</v>
      </c>
      <c r="J187" t="s">
        <v>151</v>
      </c>
      <c r="K187" t="s">
        <v>14</v>
      </c>
      <c r="L187" t="s">
        <v>3</v>
      </c>
      <c r="M187" t="s">
        <v>169</v>
      </c>
      <c r="N187" t="s">
        <v>28</v>
      </c>
      <c r="O187" t="s">
        <v>14</v>
      </c>
      <c r="P187" t="s">
        <v>359</v>
      </c>
      <c r="Q187" t="s">
        <v>109</v>
      </c>
      <c r="R187" t="s">
        <v>132</v>
      </c>
      <c r="S187" t="s">
        <v>358</v>
      </c>
      <c r="T187" t="s">
        <v>531</v>
      </c>
      <c r="U187" t="s">
        <v>878</v>
      </c>
      <c r="V187" t="s">
        <v>1421</v>
      </c>
      <c r="W187" t="s">
        <v>14</v>
      </c>
      <c r="X187" t="s">
        <v>1670</v>
      </c>
      <c r="Y187" t="s">
        <v>570</v>
      </c>
      <c r="Z187" t="s">
        <v>15</v>
      </c>
      <c r="AA187" t="s">
        <v>3</v>
      </c>
      <c r="AB187" t="s">
        <v>3</v>
      </c>
      <c r="AC187" t="s">
        <v>1671</v>
      </c>
      <c r="AD187" t="s">
        <v>152</v>
      </c>
      <c r="AE187" t="s">
        <v>1672</v>
      </c>
      <c r="AF187" t="s">
        <v>1673</v>
      </c>
      <c r="AG187" t="s">
        <v>1674</v>
      </c>
      <c r="AH187" t="s">
        <v>255</v>
      </c>
      <c r="AI187" t="s">
        <v>1675</v>
      </c>
      <c r="AJ187" t="s">
        <v>227</v>
      </c>
      <c r="AK187" t="s">
        <v>28</v>
      </c>
      <c r="AL187" t="s">
        <v>1272</v>
      </c>
      <c r="AM187" t="s">
        <v>15</v>
      </c>
      <c r="AN187" t="s">
        <v>240</v>
      </c>
      <c r="AO187" t="s">
        <v>109</v>
      </c>
      <c r="AP187" t="s">
        <v>56</v>
      </c>
    </row>
    <row r="188" spans="1:42" x14ac:dyDescent="0.3">
      <c r="A188" t="s">
        <v>2</v>
      </c>
      <c r="B188" t="s">
        <v>113</v>
      </c>
      <c r="C188" t="s">
        <v>146</v>
      </c>
      <c r="D188" t="s">
        <v>165</v>
      </c>
      <c r="E188" t="s">
        <v>345</v>
      </c>
      <c r="F188" t="s">
        <v>14</v>
      </c>
      <c r="G188" t="s">
        <v>980</v>
      </c>
      <c r="H188" t="s">
        <v>1078</v>
      </c>
      <c r="I188" t="s">
        <v>113</v>
      </c>
      <c r="J188" t="s">
        <v>109</v>
      </c>
      <c r="K188" t="s">
        <v>9</v>
      </c>
      <c r="L188" t="s">
        <v>3</v>
      </c>
      <c r="M188" t="s">
        <v>182</v>
      </c>
      <c r="N188" t="s">
        <v>151</v>
      </c>
      <c r="O188" t="s">
        <v>3</v>
      </c>
      <c r="P188" t="s">
        <v>337</v>
      </c>
      <c r="Q188" t="s">
        <v>111</v>
      </c>
      <c r="R188" t="s">
        <v>356</v>
      </c>
      <c r="S188" t="s">
        <v>115</v>
      </c>
      <c r="T188" t="s">
        <v>1186</v>
      </c>
      <c r="U188" t="s">
        <v>936</v>
      </c>
      <c r="V188" t="s">
        <v>1676</v>
      </c>
      <c r="W188" t="s">
        <v>27</v>
      </c>
      <c r="X188" t="s">
        <v>1676</v>
      </c>
      <c r="Y188" t="s">
        <v>1677</v>
      </c>
      <c r="Z188" t="s">
        <v>3</v>
      </c>
      <c r="AA188" t="s">
        <v>14</v>
      </c>
      <c r="AB188" t="s">
        <v>9</v>
      </c>
      <c r="AC188" t="s">
        <v>1678</v>
      </c>
      <c r="AD188" t="s">
        <v>503</v>
      </c>
      <c r="AE188" t="s">
        <v>1679</v>
      </c>
      <c r="AF188" t="s">
        <v>1680</v>
      </c>
      <c r="AG188" t="s">
        <v>1091</v>
      </c>
      <c r="AH188" t="s">
        <v>1681</v>
      </c>
      <c r="AI188" t="s">
        <v>1682</v>
      </c>
      <c r="AJ188" t="s">
        <v>240</v>
      </c>
      <c r="AK188" t="s">
        <v>9</v>
      </c>
      <c r="AL188" t="s">
        <v>806</v>
      </c>
      <c r="AM188" t="s">
        <v>3</v>
      </c>
      <c r="AN188" t="s">
        <v>132</v>
      </c>
      <c r="AO188" t="s">
        <v>269</v>
      </c>
      <c r="AP188" t="s">
        <v>56</v>
      </c>
    </row>
    <row r="189" spans="1:42" x14ac:dyDescent="0.3">
      <c r="A189" t="s">
        <v>18</v>
      </c>
      <c r="B189" t="s">
        <v>113</v>
      </c>
      <c r="C189" t="s">
        <v>34</v>
      </c>
      <c r="D189" t="s">
        <v>154</v>
      </c>
      <c r="E189" t="s">
        <v>635</v>
      </c>
      <c r="F189" t="s">
        <v>24</v>
      </c>
      <c r="G189" t="s">
        <v>910</v>
      </c>
      <c r="H189" t="s">
        <v>458</v>
      </c>
      <c r="I189" t="s">
        <v>164</v>
      </c>
      <c r="J189" t="s">
        <v>151</v>
      </c>
      <c r="K189" t="s">
        <v>27</v>
      </c>
      <c r="L189" t="s">
        <v>27</v>
      </c>
      <c r="M189" t="s">
        <v>325</v>
      </c>
      <c r="N189" t="s">
        <v>146</v>
      </c>
      <c r="O189" t="s">
        <v>9</v>
      </c>
      <c r="P189" t="s">
        <v>324</v>
      </c>
      <c r="Q189" t="s">
        <v>111</v>
      </c>
      <c r="R189" t="s">
        <v>163</v>
      </c>
      <c r="S189" t="s">
        <v>170</v>
      </c>
      <c r="T189" t="s">
        <v>901</v>
      </c>
      <c r="U189" t="s">
        <v>149</v>
      </c>
      <c r="V189" t="s">
        <v>1683</v>
      </c>
      <c r="W189" t="s">
        <v>3</v>
      </c>
      <c r="X189" t="s">
        <v>463</v>
      </c>
      <c r="Y189" t="s">
        <v>1629</v>
      </c>
      <c r="Z189" t="s">
        <v>9</v>
      </c>
      <c r="AA189" t="s">
        <v>34</v>
      </c>
      <c r="AB189" t="s">
        <v>28</v>
      </c>
      <c r="AC189" t="s">
        <v>1684</v>
      </c>
      <c r="AD189" t="s">
        <v>252</v>
      </c>
      <c r="AE189" t="s">
        <v>1685</v>
      </c>
      <c r="AF189" t="s">
        <v>1350</v>
      </c>
      <c r="AG189" t="s">
        <v>849</v>
      </c>
      <c r="AH189" t="s">
        <v>624</v>
      </c>
      <c r="AI189" t="s">
        <v>1686</v>
      </c>
      <c r="AJ189" t="s">
        <v>486</v>
      </c>
      <c r="AK189" t="s">
        <v>34</v>
      </c>
      <c r="AL189" t="s">
        <v>1687</v>
      </c>
      <c r="AM189" t="s">
        <v>9</v>
      </c>
      <c r="AN189" t="s">
        <v>356</v>
      </c>
      <c r="AO189" t="s">
        <v>164</v>
      </c>
      <c r="AP189" t="s">
        <v>56</v>
      </c>
    </row>
    <row r="190" spans="1:42" x14ac:dyDescent="0.3">
      <c r="A190" t="s">
        <v>37</v>
      </c>
      <c r="B190" t="s">
        <v>131</v>
      </c>
      <c r="C190" t="s">
        <v>151</v>
      </c>
      <c r="D190" t="s">
        <v>132</v>
      </c>
      <c r="E190" t="s">
        <v>163</v>
      </c>
      <c r="F190" t="s">
        <v>27</v>
      </c>
      <c r="G190" t="s">
        <v>212</v>
      </c>
      <c r="H190" t="s">
        <v>188</v>
      </c>
      <c r="I190" t="s">
        <v>24</v>
      </c>
      <c r="J190" t="s">
        <v>42</v>
      </c>
      <c r="K190" t="s">
        <v>24</v>
      </c>
      <c r="L190" t="s">
        <v>15</v>
      </c>
      <c r="M190" t="s">
        <v>423</v>
      </c>
      <c r="N190" t="s">
        <v>34</v>
      </c>
      <c r="O190" t="s">
        <v>15</v>
      </c>
      <c r="P190" t="s">
        <v>471</v>
      </c>
      <c r="Q190" t="s">
        <v>146</v>
      </c>
      <c r="R190" t="s">
        <v>325</v>
      </c>
      <c r="S190" t="s">
        <v>785</v>
      </c>
      <c r="T190" t="s">
        <v>186</v>
      </c>
      <c r="U190" t="s">
        <v>1665</v>
      </c>
      <c r="V190" t="s">
        <v>650</v>
      </c>
      <c r="W190" t="s">
        <v>33</v>
      </c>
      <c r="X190" t="s">
        <v>981</v>
      </c>
      <c r="Y190" t="s">
        <v>1088</v>
      </c>
      <c r="Z190" t="s">
        <v>15</v>
      </c>
      <c r="AA190" t="s">
        <v>24</v>
      </c>
      <c r="AB190" t="s">
        <v>24</v>
      </c>
      <c r="AC190" t="s">
        <v>1688</v>
      </c>
      <c r="AD190" t="s">
        <v>105</v>
      </c>
      <c r="AE190" t="s">
        <v>755</v>
      </c>
      <c r="AF190" t="s">
        <v>1689</v>
      </c>
      <c r="AG190" t="s">
        <v>456</v>
      </c>
      <c r="AH190" t="s">
        <v>239</v>
      </c>
      <c r="AI190" t="s">
        <v>1690</v>
      </c>
      <c r="AJ190" t="s">
        <v>171</v>
      </c>
      <c r="AK190" t="s">
        <v>14</v>
      </c>
      <c r="AL190" t="s">
        <v>1488</v>
      </c>
      <c r="AM190" t="s">
        <v>15</v>
      </c>
      <c r="AN190" t="s">
        <v>166</v>
      </c>
      <c r="AO190" t="s">
        <v>151</v>
      </c>
      <c r="AP190" t="s">
        <v>56</v>
      </c>
    </row>
    <row r="191" spans="1:42" x14ac:dyDescent="0.3">
      <c r="A191" t="s">
        <v>25</v>
      </c>
      <c r="B191" t="s">
        <v>109</v>
      </c>
      <c r="C191" t="s">
        <v>109</v>
      </c>
      <c r="D191" t="s">
        <v>166</v>
      </c>
      <c r="E191" t="s">
        <v>635</v>
      </c>
      <c r="F191" t="s">
        <v>24</v>
      </c>
      <c r="G191" t="s">
        <v>848</v>
      </c>
      <c r="H191" t="s">
        <v>364</v>
      </c>
      <c r="I191" t="s">
        <v>27</v>
      </c>
      <c r="J191" t="s">
        <v>28</v>
      </c>
      <c r="K191" t="s">
        <v>27</v>
      </c>
      <c r="L191" t="s">
        <v>27</v>
      </c>
      <c r="M191" t="s">
        <v>182</v>
      </c>
      <c r="N191" t="s">
        <v>111</v>
      </c>
      <c r="O191" t="s">
        <v>3</v>
      </c>
      <c r="P191" t="s">
        <v>383</v>
      </c>
      <c r="Q191" t="s">
        <v>42</v>
      </c>
      <c r="R191" t="s">
        <v>169</v>
      </c>
      <c r="S191" t="s">
        <v>326</v>
      </c>
      <c r="T191" t="s">
        <v>531</v>
      </c>
      <c r="U191" t="s">
        <v>622</v>
      </c>
      <c r="V191" t="s">
        <v>1346</v>
      </c>
      <c r="W191" t="s">
        <v>9</v>
      </c>
      <c r="X191" t="s">
        <v>1346</v>
      </c>
      <c r="Y191" t="s">
        <v>1691</v>
      </c>
      <c r="Z191" t="s">
        <v>9</v>
      </c>
      <c r="AA191" t="s">
        <v>27</v>
      </c>
      <c r="AB191" t="s">
        <v>14</v>
      </c>
      <c r="AC191" t="s">
        <v>1692</v>
      </c>
      <c r="AD191" t="s">
        <v>136</v>
      </c>
      <c r="AE191" t="s">
        <v>1693</v>
      </c>
      <c r="AF191" t="s">
        <v>1694</v>
      </c>
      <c r="AG191" t="s">
        <v>1235</v>
      </c>
      <c r="AH191" t="s">
        <v>1290</v>
      </c>
      <c r="AI191" t="s">
        <v>1695</v>
      </c>
      <c r="AJ191" t="s">
        <v>423</v>
      </c>
      <c r="AK191" t="s">
        <v>27</v>
      </c>
      <c r="AL191" t="s">
        <v>1230</v>
      </c>
      <c r="AM191" t="s">
        <v>3</v>
      </c>
      <c r="AN191" t="s">
        <v>187</v>
      </c>
      <c r="AO191" t="s">
        <v>114</v>
      </c>
      <c r="AP191" t="s">
        <v>56</v>
      </c>
    </row>
    <row r="192" spans="1:42" x14ac:dyDescent="0.3">
      <c r="A192" t="s">
        <v>48</v>
      </c>
      <c r="B192" t="s">
        <v>109</v>
      </c>
      <c r="C192" t="s">
        <v>151</v>
      </c>
      <c r="D192" t="s">
        <v>214</v>
      </c>
      <c r="E192" t="s">
        <v>105</v>
      </c>
      <c r="F192" t="s">
        <v>3</v>
      </c>
      <c r="G192" t="s">
        <v>541</v>
      </c>
      <c r="H192" t="s">
        <v>531</v>
      </c>
      <c r="I192" t="s">
        <v>131</v>
      </c>
      <c r="J192" t="s">
        <v>28</v>
      </c>
      <c r="K192" t="s">
        <v>24</v>
      </c>
      <c r="L192" t="s">
        <v>14</v>
      </c>
      <c r="M192" t="s">
        <v>171</v>
      </c>
      <c r="N192" t="s">
        <v>33</v>
      </c>
      <c r="O192" t="s">
        <v>14</v>
      </c>
      <c r="P192" t="s">
        <v>324</v>
      </c>
      <c r="Q192" t="s">
        <v>42</v>
      </c>
      <c r="R192" t="s">
        <v>202</v>
      </c>
      <c r="S192" t="s">
        <v>270</v>
      </c>
      <c r="T192" t="s">
        <v>281</v>
      </c>
      <c r="U192" t="s">
        <v>1542</v>
      </c>
      <c r="V192" t="s">
        <v>167</v>
      </c>
      <c r="W192" t="s">
        <v>9</v>
      </c>
      <c r="X192" t="s">
        <v>1696</v>
      </c>
      <c r="Y192" t="s">
        <v>445</v>
      </c>
      <c r="Z192" t="s">
        <v>24</v>
      </c>
      <c r="AA192" t="s">
        <v>9</v>
      </c>
      <c r="AB192" t="s">
        <v>9</v>
      </c>
      <c r="AC192" t="s">
        <v>1697</v>
      </c>
      <c r="AD192" t="s">
        <v>152</v>
      </c>
      <c r="AE192" t="s">
        <v>1698</v>
      </c>
      <c r="AF192" t="s">
        <v>1699</v>
      </c>
      <c r="AG192" t="s">
        <v>1049</v>
      </c>
      <c r="AH192" t="s">
        <v>723</v>
      </c>
      <c r="AI192" t="s">
        <v>1700</v>
      </c>
      <c r="AJ192" t="s">
        <v>336</v>
      </c>
      <c r="AK192" t="s">
        <v>9</v>
      </c>
      <c r="AL192" t="s">
        <v>238</v>
      </c>
      <c r="AM192" t="s">
        <v>15</v>
      </c>
      <c r="AN192" t="s">
        <v>279</v>
      </c>
      <c r="AO192" t="s">
        <v>291</v>
      </c>
      <c r="AP192" t="s">
        <v>56</v>
      </c>
    </row>
    <row r="193" spans="1:42" x14ac:dyDescent="0.3">
      <c r="A193" t="s">
        <v>8</v>
      </c>
      <c r="B193" t="s">
        <v>109</v>
      </c>
      <c r="C193" t="s">
        <v>181</v>
      </c>
      <c r="D193" t="s">
        <v>421</v>
      </c>
      <c r="E193" t="s">
        <v>172</v>
      </c>
      <c r="F193" t="s">
        <v>14</v>
      </c>
      <c r="G193" t="s">
        <v>378</v>
      </c>
      <c r="H193" t="s">
        <v>312</v>
      </c>
      <c r="I193" t="s">
        <v>42</v>
      </c>
      <c r="J193" t="s">
        <v>24</v>
      </c>
      <c r="K193" t="s">
        <v>28</v>
      </c>
      <c r="L193" t="s">
        <v>3</v>
      </c>
      <c r="M193" t="s">
        <v>124</v>
      </c>
      <c r="N193" t="s">
        <v>14</v>
      </c>
      <c r="O193" t="s">
        <v>15</v>
      </c>
      <c r="P193" t="s">
        <v>202</v>
      </c>
      <c r="Q193" t="s">
        <v>111</v>
      </c>
      <c r="R193" t="s">
        <v>356</v>
      </c>
      <c r="S193" t="s">
        <v>785</v>
      </c>
      <c r="T193" t="s">
        <v>170</v>
      </c>
      <c r="U193" t="s">
        <v>1243</v>
      </c>
      <c r="V193" t="s">
        <v>1314</v>
      </c>
      <c r="W193" t="s">
        <v>3</v>
      </c>
      <c r="X193" t="s">
        <v>1701</v>
      </c>
      <c r="Y193" t="s">
        <v>1386</v>
      </c>
      <c r="Z193" t="s">
        <v>9</v>
      </c>
      <c r="AA193" t="s">
        <v>34</v>
      </c>
      <c r="AB193" t="s">
        <v>27</v>
      </c>
      <c r="AC193" t="s">
        <v>1702</v>
      </c>
      <c r="AD193" t="s">
        <v>303</v>
      </c>
      <c r="AE193" t="s">
        <v>1703</v>
      </c>
      <c r="AF193" t="s">
        <v>1704</v>
      </c>
      <c r="AG193" t="s">
        <v>1705</v>
      </c>
      <c r="AH193" t="s">
        <v>942</v>
      </c>
      <c r="AI193" t="s">
        <v>1706</v>
      </c>
      <c r="AJ193" t="s">
        <v>336</v>
      </c>
      <c r="AK193" t="s">
        <v>9</v>
      </c>
      <c r="AL193" t="s">
        <v>1707</v>
      </c>
      <c r="AM193" t="s">
        <v>14</v>
      </c>
      <c r="AN193" t="s">
        <v>408</v>
      </c>
      <c r="AO193" t="s">
        <v>515</v>
      </c>
      <c r="AP193" t="s">
        <v>56</v>
      </c>
    </row>
    <row r="194" spans="1:42" x14ac:dyDescent="0.3">
      <c r="A194" t="s">
        <v>57</v>
      </c>
      <c r="B194" t="s">
        <v>111</v>
      </c>
      <c r="C194" t="s">
        <v>269</v>
      </c>
      <c r="D194" t="s">
        <v>249</v>
      </c>
      <c r="E194" t="s">
        <v>169</v>
      </c>
      <c r="F194" t="s">
        <v>3</v>
      </c>
      <c r="G194" t="s">
        <v>597</v>
      </c>
      <c r="H194" t="s">
        <v>470</v>
      </c>
      <c r="I194" t="s">
        <v>34</v>
      </c>
      <c r="J194" t="s">
        <v>111</v>
      </c>
      <c r="K194" t="s">
        <v>14</v>
      </c>
      <c r="L194" t="s">
        <v>15</v>
      </c>
      <c r="M194" t="s">
        <v>486</v>
      </c>
      <c r="N194" t="s">
        <v>28</v>
      </c>
      <c r="O194" t="s">
        <v>15</v>
      </c>
      <c r="P194" t="s">
        <v>515</v>
      </c>
      <c r="Q194" t="s">
        <v>33</v>
      </c>
      <c r="R194" t="s">
        <v>408</v>
      </c>
      <c r="S194" t="s">
        <v>383</v>
      </c>
      <c r="T194" t="s">
        <v>1413</v>
      </c>
      <c r="U194" t="s">
        <v>601</v>
      </c>
      <c r="V194" t="s">
        <v>878</v>
      </c>
      <c r="W194" t="s">
        <v>3</v>
      </c>
      <c r="X194" t="s">
        <v>1296</v>
      </c>
      <c r="Y194" t="s">
        <v>848</v>
      </c>
      <c r="Z194" t="s">
        <v>15</v>
      </c>
      <c r="AA194" t="s">
        <v>28</v>
      </c>
      <c r="AB194" t="s">
        <v>27</v>
      </c>
      <c r="AC194" t="s">
        <v>1708</v>
      </c>
      <c r="AD194" t="s">
        <v>423</v>
      </c>
      <c r="AE194" t="s">
        <v>1638</v>
      </c>
      <c r="AF194" t="s">
        <v>1709</v>
      </c>
      <c r="AG194" t="s">
        <v>1130</v>
      </c>
      <c r="AH194" t="s">
        <v>294</v>
      </c>
      <c r="AI194" t="s">
        <v>1710</v>
      </c>
      <c r="AJ194" t="s">
        <v>125</v>
      </c>
      <c r="AK194" t="s">
        <v>9</v>
      </c>
      <c r="AL194" t="s">
        <v>928</v>
      </c>
      <c r="AM194" t="s">
        <v>9</v>
      </c>
      <c r="AN194" t="s">
        <v>635</v>
      </c>
      <c r="AO194" t="s">
        <v>109</v>
      </c>
      <c r="AP194" t="s">
        <v>56</v>
      </c>
    </row>
    <row r="195" spans="1:42" x14ac:dyDescent="0.3">
      <c r="A195" t="s">
        <v>53</v>
      </c>
      <c r="B195" t="s">
        <v>111</v>
      </c>
      <c r="C195" t="s">
        <v>269</v>
      </c>
      <c r="D195" t="s">
        <v>486</v>
      </c>
      <c r="E195" t="s">
        <v>105</v>
      </c>
      <c r="F195" t="s">
        <v>9</v>
      </c>
      <c r="G195" t="s">
        <v>580</v>
      </c>
      <c r="H195" t="s">
        <v>239</v>
      </c>
      <c r="I195" t="s">
        <v>109</v>
      </c>
      <c r="J195" t="s">
        <v>33</v>
      </c>
      <c r="K195" t="s">
        <v>27</v>
      </c>
      <c r="L195" t="s">
        <v>3</v>
      </c>
      <c r="M195" t="s">
        <v>423</v>
      </c>
      <c r="N195" t="s">
        <v>28</v>
      </c>
      <c r="O195" t="s">
        <v>15</v>
      </c>
      <c r="P195" t="s">
        <v>115</v>
      </c>
      <c r="Q195" t="s">
        <v>34</v>
      </c>
      <c r="R195" t="s">
        <v>163</v>
      </c>
      <c r="S195" t="s">
        <v>326</v>
      </c>
      <c r="T195" t="s">
        <v>1256</v>
      </c>
      <c r="U195" t="s">
        <v>106</v>
      </c>
      <c r="V195" t="s">
        <v>1184</v>
      </c>
      <c r="W195" t="s">
        <v>14</v>
      </c>
      <c r="X195" t="s">
        <v>449</v>
      </c>
      <c r="Y195" t="s">
        <v>390</v>
      </c>
      <c r="Z195" t="s">
        <v>27</v>
      </c>
      <c r="AA195" t="s">
        <v>27</v>
      </c>
      <c r="AB195" t="s">
        <v>27</v>
      </c>
      <c r="AC195" t="s">
        <v>1711</v>
      </c>
      <c r="AD195" t="s">
        <v>113</v>
      </c>
      <c r="AE195" t="s">
        <v>1712</v>
      </c>
      <c r="AF195" t="s">
        <v>1713</v>
      </c>
      <c r="AG195" t="s">
        <v>156</v>
      </c>
      <c r="AH195" t="s">
        <v>538</v>
      </c>
      <c r="AI195" t="s">
        <v>1714</v>
      </c>
      <c r="AJ195" t="s">
        <v>240</v>
      </c>
      <c r="AK195" t="s">
        <v>27</v>
      </c>
      <c r="AL195" t="s">
        <v>688</v>
      </c>
      <c r="AM195" t="s">
        <v>15</v>
      </c>
      <c r="AN195" t="s">
        <v>227</v>
      </c>
      <c r="AO195" t="s">
        <v>24</v>
      </c>
      <c r="AP195" t="s">
        <v>56</v>
      </c>
    </row>
    <row r="196" spans="1:42" x14ac:dyDescent="0.3">
      <c r="A196" t="s">
        <v>7</v>
      </c>
      <c r="B196" t="s">
        <v>111</v>
      </c>
      <c r="C196" t="s">
        <v>185</v>
      </c>
      <c r="D196" t="s">
        <v>166</v>
      </c>
      <c r="E196" t="s">
        <v>148</v>
      </c>
      <c r="F196" t="s">
        <v>24</v>
      </c>
      <c r="G196" t="s">
        <v>766</v>
      </c>
      <c r="H196" t="s">
        <v>1715</v>
      </c>
      <c r="I196" t="s">
        <v>269</v>
      </c>
      <c r="J196" t="s">
        <v>146</v>
      </c>
      <c r="K196" t="s">
        <v>27</v>
      </c>
      <c r="L196" t="s">
        <v>15</v>
      </c>
      <c r="M196" t="s">
        <v>169</v>
      </c>
      <c r="N196" t="s">
        <v>28</v>
      </c>
      <c r="O196" t="s">
        <v>9</v>
      </c>
      <c r="P196" t="s">
        <v>325</v>
      </c>
      <c r="Q196" t="s">
        <v>146</v>
      </c>
      <c r="R196" t="s">
        <v>325</v>
      </c>
      <c r="S196" t="s">
        <v>134</v>
      </c>
      <c r="T196" t="s">
        <v>446</v>
      </c>
      <c r="U196" t="s">
        <v>434</v>
      </c>
      <c r="V196" t="s">
        <v>877</v>
      </c>
      <c r="W196" t="s">
        <v>14</v>
      </c>
      <c r="X196" t="s">
        <v>524</v>
      </c>
      <c r="Y196" t="s">
        <v>549</v>
      </c>
      <c r="Z196" t="s">
        <v>3</v>
      </c>
      <c r="AA196" t="s">
        <v>28</v>
      </c>
      <c r="AB196" t="s">
        <v>24</v>
      </c>
      <c r="AC196" t="s">
        <v>1716</v>
      </c>
      <c r="AD196" t="s">
        <v>147</v>
      </c>
      <c r="AE196" t="s">
        <v>1717</v>
      </c>
      <c r="AF196" t="s">
        <v>1718</v>
      </c>
      <c r="AG196" t="s">
        <v>1719</v>
      </c>
      <c r="AH196" t="s">
        <v>1262</v>
      </c>
      <c r="AI196" t="s">
        <v>1720</v>
      </c>
      <c r="AJ196" t="s">
        <v>268</v>
      </c>
      <c r="AK196" t="s">
        <v>27</v>
      </c>
      <c r="AL196" t="s">
        <v>1055</v>
      </c>
      <c r="AM196" t="s">
        <v>15</v>
      </c>
      <c r="AN196" t="s">
        <v>169</v>
      </c>
      <c r="AO196" t="s">
        <v>131</v>
      </c>
      <c r="AP196" t="s">
        <v>56</v>
      </c>
    </row>
    <row r="197" spans="1:42" x14ac:dyDescent="0.3">
      <c r="A197" t="s">
        <v>35</v>
      </c>
      <c r="B197" t="s">
        <v>146</v>
      </c>
      <c r="C197" t="s">
        <v>151</v>
      </c>
      <c r="D197" t="s">
        <v>291</v>
      </c>
      <c r="E197" t="s">
        <v>154</v>
      </c>
      <c r="F197" t="s">
        <v>14</v>
      </c>
      <c r="G197" t="s">
        <v>951</v>
      </c>
      <c r="H197" t="s">
        <v>963</v>
      </c>
      <c r="I197" t="s">
        <v>146</v>
      </c>
      <c r="J197" t="s">
        <v>109</v>
      </c>
      <c r="K197" t="s">
        <v>3</v>
      </c>
      <c r="L197" t="s">
        <v>3</v>
      </c>
      <c r="M197" t="s">
        <v>336</v>
      </c>
      <c r="N197" t="s">
        <v>14</v>
      </c>
      <c r="O197" t="s">
        <v>15</v>
      </c>
      <c r="P197" t="s">
        <v>322</v>
      </c>
      <c r="Q197" t="s">
        <v>111</v>
      </c>
      <c r="R197" t="s">
        <v>182</v>
      </c>
      <c r="S197" t="s">
        <v>1361</v>
      </c>
      <c r="T197" t="s">
        <v>764</v>
      </c>
      <c r="U197" t="s">
        <v>1212</v>
      </c>
      <c r="V197" t="s">
        <v>839</v>
      </c>
      <c r="W197" t="s">
        <v>27</v>
      </c>
      <c r="X197" t="s">
        <v>1721</v>
      </c>
      <c r="Y197" t="s">
        <v>1066</v>
      </c>
      <c r="Z197" t="s">
        <v>14</v>
      </c>
      <c r="AA197" t="s">
        <v>28</v>
      </c>
      <c r="AB197" t="s">
        <v>24</v>
      </c>
      <c r="AC197" t="s">
        <v>1722</v>
      </c>
      <c r="AD197" t="s">
        <v>303</v>
      </c>
      <c r="AE197" t="s">
        <v>1723</v>
      </c>
      <c r="AF197" t="s">
        <v>911</v>
      </c>
      <c r="AG197" t="s">
        <v>1724</v>
      </c>
      <c r="AH197" t="s">
        <v>686</v>
      </c>
      <c r="AI197" t="s">
        <v>1725</v>
      </c>
      <c r="AJ197" t="s">
        <v>103</v>
      </c>
      <c r="AK197" t="s">
        <v>24</v>
      </c>
      <c r="AL197" t="s">
        <v>1128</v>
      </c>
      <c r="AM197" t="s">
        <v>15</v>
      </c>
      <c r="AN197" t="s">
        <v>187</v>
      </c>
      <c r="AO197" t="s">
        <v>131</v>
      </c>
      <c r="AP197" t="s">
        <v>56</v>
      </c>
    </row>
    <row r="198" spans="1:42" x14ac:dyDescent="0.3">
      <c r="A198" t="s">
        <v>10</v>
      </c>
      <c r="B198" t="s">
        <v>42</v>
      </c>
      <c r="C198" t="s">
        <v>164</v>
      </c>
      <c r="D198" t="s">
        <v>148</v>
      </c>
      <c r="E198" t="s">
        <v>105</v>
      </c>
      <c r="F198" t="s">
        <v>24</v>
      </c>
      <c r="G198" t="s">
        <v>1376</v>
      </c>
      <c r="H198" t="s">
        <v>472</v>
      </c>
      <c r="I198" t="s">
        <v>28</v>
      </c>
      <c r="J198" t="s">
        <v>109</v>
      </c>
      <c r="K198" t="s">
        <v>14</v>
      </c>
      <c r="L198" t="s">
        <v>3</v>
      </c>
      <c r="M198" t="s">
        <v>200</v>
      </c>
      <c r="N198" t="s">
        <v>28</v>
      </c>
      <c r="O198" t="s">
        <v>27</v>
      </c>
      <c r="P198" t="s">
        <v>166</v>
      </c>
      <c r="Q198" t="s">
        <v>34</v>
      </c>
      <c r="R198" t="s">
        <v>154</v>
      </c>
      <c r="S198" t="s">
        <v>293</v>
      </c>
      <c r="T198" t="s">
        <v>226</v>
      </c>
      <c r="U198" t="s">
        <v>964</v>
      </c>
      <c r="V198" t="s">
        <v>319</v>
      </c>
      <c r="W198" t="s">
        <v>27</v>
      </c>
      <c r="X198" t="s">
        <v>670</v>
      </c>
      <c r="Y198" t="s">
        <v>1726</v>
      </c>
      <c r="Z198" t="s">
        <v>9</v>
      </c>
      <c r="AA198" t="s">
        <v>24</v>
      </c>
      <c r="AB198" t="s">
        <v>27</v>
      </c>
      <c r="AC198" t="s">
        <v>1727</v>
      </c>
      <c r="AD198" t="s">
        <v>103</v>
      </c>
      <c r="AE198" t="s">
        <v>1367</v>
      </c>
      <c r="AF198" t="s">
        <v>1551</v>
      </c>
      <c r="AG198" t="s">
        <v>659</v>
      </c>
      <c r="AH198" t="s">
        <v>876</v>
      </c>
      <c r="AI198" t="s">
        <v>1728</v>
      </c>
      <c r="AJ198" t="s">
        <v>302</v>
      </c>
      <c r="AK198" t="s">
        <v>9</v>
      </c>
      <c r="AL198" t="s">
        <v>1729</v>
      </c>
      <c r="AM198" t="s">
        <v>3</v>
      </c>
      <c r="AN198" t="s">
        <v>568</v>
      </c>
      <c r="AO198" t="s">
        <v>336</v>
      </c>
      <c r="AP198" t="s">
        <v>56</v>
      </c>
    </row>
    <row r="199" spans="1:42" x14ac:dyDescent="0.3">
      <c r="A199" t="s">
        <v>47</v>
      </c>
      <c r="B199" t="s">
        <v>42</v>
      </c>
      <c r="C199" t="s">
        <v>135</v>
      </c>
      <c r="D199" t="s">
        <v>486</v>
      </c>
      <c r="E199" t="s">
        <v>345</v>
      </c>
      <c r="F199" t="s">
        <v>14</v>
      </c>
      <c r="G199" t="s">
        <v>346</v>
      </c>
      <c r="H199" t="s">
        <v>550</v>
      </c>
      <c r="I199" t="s">
        <v>111</v>
      </c>
      <c r="J199" t="s">
        <v>14</v>
      </c>
      <c r="K199" t="s">
        <v>3</v>
      </c>
      <c r="L199" t="s">
        <v>15</v>
      </c>
      <c r="M199" t="s">
        <v>423</v>
      </c>
      <c r="N199" t="s">
        <v>28</v>
      </c>
      <c r="O199" t="s">
        <v>15</v>
      </c>
      <c r="P199" t="s">
        <v>410</v>
      </c>
      <c r="Q199" t="s">
        <v>24</v>
      </c>
      <c r="R199" t="s">
        <v>408</v>
      </c>
      <c r="S199" t="s">
        <v>471</v>
      </c>
      <c r="T199" t="s">
        <v>1186</v>
      </c>
      <c r="U199" t="s">
        <v>739</v>
      </c>
      <c r="V199" t="s">
        <v>1073</v>
      </c>
      <c r="W199" t="s">
        <v>14</v>
      </c>
      <c r="X199" t="s">
        <v>296</v>
      </c>
      <c r="Y199" t="s">
        <v>1503</v>
      </c>
      <c r="Z199" t="s">
        <v>9</v>
      </c>
      <c r="AA199" t="s">
        <v>146</v>
      </c>
      <c r="AB199" t="s">
        <v>42</v>
      </c>
      <c r="AC199" t="s">
        <v>1730</v>
      </c>
      <c r="AD199" t="s">
        <v>181</v>
      </c>
      <c r="AE199" t="s">
        <v>1731</v>
      </c>
      <c r="AF199" t="s">
        <v>1732</v>
      </c>
      <c r="AG199" t="s">
        <v>823</v>
      </c>
      <c r="AH199" t="s">
        <v>686</v>
      </c>
      <c r="AI199" t="s">
        <v>1733</v>
      </c>
      <c r="AJ199" t="s">
        <v>264</v>
      </c>
      <c r="AK199" t="s">
        <v>27</v>
      </c>
      <c r="AL199" t="s">
        <v>1088</v>
      </c>
      <c r="AM199" t="s">
        <v>15</v>
      </c>
      <c r="AN199" t="s">
        <v>165</v>
      </c>
      <c r="AO199" t="s">
        <v>145</v>
      </c>
      <c r="AP199" t="s">
        <v>56</v>
      </c>
    </row>
    <row r="200" spans="1:42" x14ac:dyDescent="0.3">
      <c r="A200" t="s">
        <v>29</v>
      </c>
      <c r="B200" t="s">
        <v>42</v>
      </c>
      <c r="C200" t="s">
        <v>181</v>
      </c>
      <c r="D200" t="s">
        <v>182</v>
      </c>
      <c r="E200" t="s">
        <v>127</v>
      </c>
      <c r="F200" t="s">
        <v>9</v>
      </c>
      <c r="G200" t="s">
        <v>1209</v>
      </c>
      <c r="H200" t="s">
        <v>253</v>
      </c>
      <c r="I200" t="s">
        <v>146</v>
      </c>
      <c r="J200" t="s">
        <v>9</v>
      </c>
      <c r="K200" t="s">
        <v>14</v>
      </c>
      <c r="L200" t="s">
        <v>27</v>
      </c>
      <c r="M200" t="s">
        <v>421</v>
      </c>
      <c r="N200" t="s">
        <v>34</v>
      </c>
      <c r="O200" t="s">
        <v>9</v>
      </c>
      <c r="P200" t="s">
        <v>180</v>
      </c>
      <c r="Q200" t="s">
        <v>33</v>
      </c>
      <c r="R200" t="s">
        <v>128</v>
      </c>
      <c r="S200" t="s">
        <v>480</v>
      </c>
      <c r="T200" t="s">
        <v>266</v>
      </c>
      <c r="U200" t="s">
        <v>1169</v>
      </c>
      <c r="V200" t="s">
        <v>555</v>
      </c>
      <c r="W200" t="s">
        <v>27</v>
      </c>
      <c r="X200" t="s">
        <v>1734</v>
      </c>
      <c r="Y200" t="s">
        <v>972</v>
      </c>
      <c r="Z200" t="s">
        <v>3</v>
      </c>
      <c r="AA200" t="s">
        <v>34</v>
      </c>
      <c r="AB200" t="s">
        <v>33</v>
      </c>
      <c r="AC200" t="s">
        <v>1735</v>
      </c>
      <c r="AD200" t="s">
        <v>147</v>
      </c>
      <c r="AE200" t="s">
        <v>1736</v>
      </c>
      <c r="AF200" t="s">
        <v>1737</v>
      </c>
      <c r="AG200" t="s">
        <v>587</v>
      </c>
      <c r="AH200" t="s">
        <v>239</v>
      </c>
      <c r="AI200" t="s">
        <v>1738</v>
      </c>
      <c r="AJ200" t="s">
        <v>303</v>
      </c>
      <c r="AK200" t="s">
        <v>33</v>
      </c>
      <c r="AL200" t="s">
        <v>588</v>
      </c>
      <c r="AM200" t="s">
        <v>15</v>
      </c>
      <c r="AN200" t="s">
        <v>127</v>
      </c>
      <c r="AO200" t="s">
        <v>164</v>
      </c>
      <c r="AP200" t="s">
        <v>56</v>
      </c>
    </row>
    <row r="201" spans="1:42" x14ac:dyDescent="0.3">
      <c r="A201" t="s">
        <v>6</v>
      </c>
      <c r="B201" t="s">
        <v>14</v>
      </c>
      <c r="C201" t="s">
        <v>114</v>
      </c>
      <c r="D201" t="s">
        <v>114</v>
      </c>
      <c r="E201" t="s">
        <v>503</v>
      </c>
      <c r="F201" t="s">
        <v>14</v>
      </c>
      <c r="G201" t="s">
        <v>1414</v>
      </c>
      <c r="H201" t="s">
        <v>304</v>
      </c>
      <c r="I201" t="s">
        <v>33</v>
      </c>
      <c r="J201" t="s">
        <v>28</v>
      </c>
      <c r="K201" t="s">
        <v>9</v>
      </c>
      <c r="L201" t="s">
        <v>15</v>
      </c>
      <c r="M201" t="s">
        <v>108</v>
      </c>
      <c r="N201" t="s">
        <v>28</v>
      </c>
      <c r="O201" t="s">
        <v>3</v>
      </c>
      <c r="P201" t="s">
        <v>214</v>
      </c>
      <c r="Q201" t="s">
        <v>28</v>
      </c>
      <c r="R201" t="s">
        <v>558</v>
      </c>
      <c r="S201" t="s">
        <v>459</v>
      </c>
      <c r="T201" t="s">
        <v>170</v>
      </c>
      <c r="U201" t="s">
        <v>865</v>
      </c>
      <c r="V201" t="s">
        <v>1273</v>
      </c>
      <c r="W201" t="s">
        <v>9</v>
      </c>
      <c r="X201" t="s">
        <v>1031</v>
      </c>
      <c r="Y201" t="s">
        <v>528</v>
      </c>
      <c r="Z201" t="s">
        <v>27</v>
      </c>
      <c r="AA201" t="s">
        <v>24</v>
      </c>
      <c r="AB201" t="s">
        <v>14</v>
      </c>
      <c r="AC201" t="s">
        <v>1739</v>
      </c>
      <c r="AD201" t="s">
        <v>109</v>
      </c>
      <c r="AE201" t="s">
        <v>1740</v>
      </c>
      <c r="AF201" t="s">
        <v>1741</v>
      </c>
      <c r="AG201" t="s">
        <v>194</v>
      </c>
      <c r="AH201" t="s">
        <v>700</v>
      </c>
      <c r="AI201" t="s">
        <v>1742</v>
      </c>
      <c r="AJ201" t="s">
        <v>145</v>
      </c>
      <c r="AK201" t="s">
        <v>24</v>
      </c>
      <c r="AL201" t="s">
        <v>1743</v>
      </c>
      <c r="AM201" t="s">
        <v>3</v>
      </c>
      <c r="AN201" t="s">
        <v>515</v>
      </c>
      <c r="AO201" t="s">
        <v>103</v>
      </c>
      <c r="AP201" t="s">
        <v>56</v>
      </c>
    </row>
    <row r="202" spans="1:42" x14ac:dyDescent="0.3">
      <c r="A202" t="s">
        <v>25</v>
      </c>
      <c r="B202" t="s">
        <v>264</v>
      </c>
      <c r="C202" t="s">
        <v>24</v>
      </c>
      <c r="D202" t="s">
        <v>279</v>
      </c>
      <c r="E202" t="s">
        <v>110</v>
      </c>
      <c r="F202" t="s">
        <v>15</v>
      </c>
      <c r="G202" t="s">
        <v>990</v>
      </c>
      <c r="H202" t="s">
        <v>338</v>
      </c>
      <c r="I202" t="s">
        <v>181</v>
      </c>
      <c r="J202" t="s">
        <v>34</v>
      </c>
      <c r="K202" t="s">
        <v>9</v>
      </c>
      <c r="L202" t="s">
        <v>14</v>
      </c>
      <c r="M202" t="s">
        <v>172</v>
      </c>
      <c r="N202" t="s">
        <v>109</v>
      </c>
      <c r="O202" t="s">
        <v>33</v>
      </c>
      <c r="P202" t="s">
        <v>127</v>
      </c>
      <c r="Q202" t="s">
        <v>113</v>
      </c>
      <c r="R202" t="s">
        <v>423</v>
      </c>
      <c r="S202" t="s">
        <v>699</v>
      </c>
      <c r="T202" t="s">
        <v>278</v>
      </c>
      <c r="U202" t="s">
        <v>557</v>
      </c>
      <c r="V202" t="s">
        <v>1012</v>
      </c>
      <c r="W202" t="s">
        <v>15</v>
      </c>
      <c r="X202" t="s">
        <v>822</v>
      </c>
      <c r="Y202" t="s">
        <v>482</v>
      </c>
      <c r="Z202" t="s">
        <v>3</v>
      </c>
      <c r="AA202" t="s">
        <v>9</v>
      </c>
      <c r="AB202" t="s">
        <v>9</v>
      </c>
      <c r="AC202" t="s">
        <v>1744</v>
      </c>
      <c r="AD202" t="s">
        <v>471</v>
      </c>
      <c r="AE202" t="s">
        <v>1745</v>
      </c>
      <c r="AF202" t="s">
        <v>1746</v>
      </c>
      <c r="AG202" t="s">
        <v>714</v>
      </c>
      <c r="AH202" t="s">
        <v>1262</v>
      </c>
      <c r="AI202" t="s">
        <v>1747</v>
      </c>
      <c r="AJ202" t="s">
        <v>252</v>
      </c>
      <c r="AK202" t="s">
        <v>14</v>
      </c>
      <c r="AL202" t="s">
        <v>922</v>
      </c>
      <c r="AM202" t="s">
        <v>15</v>
      </c>
      <c r="AN202" t="s">
        <v>200</v>
      </c>
      <c r="AO202" t="s">
        <v>269</v>
      </c>
      <c r="AP202" t="s">
        <v>58</v>
      </c>
    </row>
    <row r="203" spans="1:42" x14ac:dyDescent="0.3">
      <c r="A203" t="s">
        <v>21</v>
      </c>
      <c r="B203" t="s">
        <v>302</v>
      </c>
      <c r="C203" t="s">
        <v>27</v>
      </c>
      <c r="D203" t="s">
        <v>527</v>
      </c>
      <c r="E203" t="s">
        <v>128</v>
      </c>
      <c r="F203" t="s">
        <v>15</v>
      </c>
      <c r="G203" t="s">
        <v>1179</v>
      </c>
      <c r="H203" t="s">
        <v>609</v>
      </c>
      <c r="I203" t="s">
        <v>135</v>
      </c>
      <c r="J203" t="s">
        <v>146</v>
      </c>
      <c r="K203" t="s">
        <v>33</v>
      </c>
      <c r="L203" t="s">
        <v>15</v>
      </c>
      <c r="M203" t="s">
        <v>136</v>
      </c>
      <c r="N203" t="s">
        <v>109</v>
      </c>
      <c r="O203" t="s">
        <v>14</v>
      </c>
      <c r="P203" t="s">
        <v>136</v>
      </c>
      <c r="Q203" t="s">
        <v>181</v>
      </c>
      <c r="R203" t="s">
        <v>302</v>
      </c>
      <c r="S203" t="s">
        <v>279</v>
      </c>
      <c r="T203" t="s">
        <v>600</v>
      </c>
      <c r="U203" t="s">
        <v>1748</v>
      </c>
      <c r="V203" t="s">
        <v>898</v>
      </c>
      <c r="W203" t="s">
        <v>3</v>
      </c>
      <c r="X203" t="s">
        <v>463</v>
      </c>
      <c r="Y203" t="s">
        <v>848</v>
      </c>
      <c r="Z203" t="s">
        <v>3</v>
      </c>
      <c r="AA203" t="s">
        <v>9</v>
      </c>
      <c r="AB203" t="s">
        <v>9</v>
      </c>
      <c r="AC203" t="s">
        <v>991</v>
      </c>
      <c r="AD203" t="s">
        <v>249</v>
      </c>
      <c r="AE203" t="s">
        <v>1749</v>
      </c>
      <c r="AF203" t="s">
        <v>1750</v>
      </c>
      <c r="AG203" t="s">
        <v>1619</v>
      </c>
      <c r="AH203" t="s">
        <v>1751</v>
      </c>
      <c r="AI203" t="s">
        <v>1752</v>
      </c>
      <c r="AJ203" t="s">
        <v>132</v>
      </c>
      <c r="AK203" t="s">
        <v>3</v>
      </c>
      <c r="AL203" t="s">
        <v>1753</v>
      </c>
      <c r="AM203" t="s">
        <v>15</v>
      </c>
      <c r="AN203" t="s">
        <v>108</v>
      </c>
      <c r="AO203" t="s">
        <v>111</v>
      </c>
      <c r="AP203" t="s">
        <v>58</v>
      </c>
    </row>
    <row r="204" spans="1:42" x14ac:dyDescent="0.3">
      <c r="A204" t="s">
        <v>5</v>
      </c>
      <c r="B204" t="s">
        <v>133</v>
      </c>
      <c r="C204" t="s">
        <v>42</v>
      </c>
      <c r="D204" t="s">
        <v>224</v>
      </c>
      <c r="E204" t="s">
        <v>322</v>
      </c>
      <c r="F204" t="s">
        <v>14</v>
      </c>
      <c r="G204" t="s">
        <v>1364</v>
      </c>
      <c r="H204" t="s">
        <v>668</v>
      </c>
      <c r="I204" t="s">
        <v>181</v>
      </c>
      <c r="J204" t="s">
        <v>181</v>
      </c>
      <c r="K204" t="s">
        <v>27</v>
      </c>
      <c r="L204" t="s">
        <v>9</v>
      </c>
      <c r="M204" t="s">
        <v>568</v>
      </c>
      <c r="N204" t="s">
        <v>33</v>
      </c>
      <c r="O204" t="s">
        <v>9</v>
      </c>
      <c r="P204" t="s">
        <v>201</v>
      </c>
      <c r="Q204" t="s">
        <v>185</v>
      </c>
      <c r="R204" t="s">
        <v>148</v>
      </c>
      <c r="S204" t="s">
        <v>614</v>
      </c>
      <c r="T204" t="s">
        <v>201</v>
      </c>
      <c r="U204" t="s">
        <v>657</v>
      </c>
      <c r="V204" t="s">
        <v>1398</v>
      </c>
      <c r="W204" t="s">
        <v>24</v>
      </c>
      <c r="X204" t="s">
        <v>1754</v>
      </c>
      <c r="Y204" t="s">
        <v>1753</v>
      </c>
      <c r="Z204" t="s">
        <v>3</v>
      </c>
      <c r="AA204" t="s">
        <v>146</v>
      </c>
      <c r="AB204" t="s">
        <v>146</v>
      </c>
      <c r="AC204" t="s">
        <v>1755</v>
      </c>
      <c r="AD204" t="s">
        <v>550</v>
      </c>
      <c r="AE204" t="s">
        <v>1756</v>
      </c>
      <c r="AF204" t="s">
        <v>1757</v>
      </c>
      <c r="AG204" t="s">
        <v>718</v>
      </c>
      <c r="AH204" t="s">
        <v>1535</v>
      </c>
      <c r="AI204" t="s">
        <v>1758</v>
      </c>
      <c r="AJ204" t="s">
        <v>132</v>
      </c>
      <c r="AK204" t="s">
        <v>3</v>
      </c>
      <c r="AL204" t="s">
        <v>238</v>
      </c>
      <c r="AM204" t="s">
        <v>15</v>
      </c>
      <c r="AN204" t="s">
        <v>240</v>
      </c>
      <c r="AO204" t="s">
        <v>146</v>
      </c>
      <c r="AP204" t="s">
        <v>58</v>
      </c>
    </row>
    <row r="205" spans="1:42" x14ac:dyDescent="0.3">
      <c r="A205" t="s">
        <v>26</v>
      </c>
      <c r="B205" t="s">
        <v>133</v>
      </c>
      <c r="C205" t="s">
        <v>28</v>
      </c>
      <c r="D205" t="s">
        <v>112</v>
      </c>
      <c r="E205" t="s">
        <v>433</v>
      </c>
      <c r="F205" t="s">
        <v>27</v>
      </c>
      <c r="G205" t="s">
        <v>1303</v>
      </c>
      <c r="H205" t="s">
        <v>130</v>
      </c>
      <c r="I205" t="s">
        <v>145</v>
      </c>
      <c r="J205" t="s">
        <v>34</v>
      </c>
      <c r="K205" t="s">
        <v>33</v>
      </c>
      <c r="L205" t="s">
        <v>9</v>
      </c>
      <c r="M205" t="s">
        <v>172</v>
      </c>
      <c r="N205" t="s">
        <v>33</v>
      </c>
      <c r="O205" t="s">
        <v>28</v>
      </c>
      <c r="P205" t="s">
        <v>267</v>
      </c>
      <c r="Q205" t="s">
        <v>109</v>
      </c>
      <c r="R205" t="s">
        <v>486</v>
      </c>
      <c r="S205" t="s">
        <v>127</v>
      </c>
      <c r="T205" t="s">
        <v>515</v>
      </c>
      <c r="U205" t="s">
        <v>615</v>
      </c>
      <c r="V205" t="s">
        <v>1410</v>
      </c>
      <c r="W205" t="s">
        <v>15</v>
      </c>
      <c r="X205" t="s">
        <v>565</v>
      </c>
      <c r="Y205" t="s">
        <v>689</v>
      </c>
      <c r="Z205" t="s">
        <v>3</v>
      </c>
      <c r="AA205" t="s">
        <v>24</v>
      </c>
      <c r="AB205" t="s">
        <v>9</v>
      </c>
      <c r="AC205" t="s">
        <v>1175</v>
      </c>
      <c r="AD205" t="s">
        <v>614</v>
      </c>
      <c r="AE205" t="s">
        <v>1759</v>
      </c>
      <c r="AF205" t="s">
        <v>1760</v>
      </c>
      <c r="AG205" t="s">
        <v>1761</v>
      </c>
      <c r="AH205" t="s">
        <v>222</v>
      </c>
      <c r="AI205" t="s">
        <v>1762</v>
      </c>
      <c r="AJ205" t="s">
        <v>182</v>
      </c>
      <c r="AK205" t="s">
        <v>27</v>
      </c>
      <c r="AL205" t="s">
        <v>238</v>
      </c>
      <c r="AM205" t="s">
        <v>9</v>
      </c>
      <c r="AN205" t="s">
        <v>302</v>
      </c>
      <c r="AO205" t="s">
        <v>145</v>
      </c>
      <c r="AP205" t="s">
        <v>58</v>
      </c>
    </row>
    <row r="206" spans="1:42" x14ac:dyDescent="0.3">
      <c r="A206" t="s">
        <v>2</v>
      </c>
      <c r="B206" t="s">
        <v>135</v>
      </c>
      <c r="C206" t="s">
        <v>28</v>
      </c>
      <c r="D206" t="s">
        <v>278</v>
      </c>
      <c r="E206" t="s">
        <v>187</v>
      </c>
      <c r="F206" t="s">
        <v>15</v>
      </c>
      <c r="G206" t="s">
        <v>601</v>
      </c>
      <c r="H206" t="s">
        <v>862</v>
      </c>
      <c r="I206" t="s">
        <v>269</v>
      </c>
      <c r="J206" t="s">
        <v>109</v>
      </c>
      <c r="K206" t="s">
        <v>33</v>
      </c>
      <c r="L206" t="s">
        <v>14</v>
      </c>
      <c r="M206" t="s">
        <v>154</v>
      </c>
      <c r="N206" t="s">
        <v>185</v>
      </c>
      <c r="O206" t="s">
        <v>14</v>
      </c>
      <c r="P206" t="s">
        <v>224</v>
      </c>
      <c r="Q206" t="s">
        <v>109</v>
      </c>
      <c r="R206" t="s">
        <v>214</v>
      </c>
      <c r="S206" t="s">
        <v>172</v>
      </c>
      <c r="T206" t="s">
        <v>154</v>
      </c>
      <c r="U206" t="s">
        <v>928</v>
      </c>
      <c r="V206" t="s">
        <v>1763</v>
      </c>
      <c r="W206" t="s">
        <v>9</v>
      </c>
      <c r="X206" t="s">
        <v>430</v>
      </c>
      <c r="Y206" t="s">
        <v>357</v>
      </c>
      <c r="Z206" t="s">
        <v>15</v>
      </c>
      <c r="AA206" t="s">
        <v>24</v>
      </c>
      <c r="AB206" t="s">
        <v>14</v>
      </c>
      <c r="AC206" t="s">
        <v>1764</v>
      </c>
      <c r="AD206" t="s">
        <v>147</v>
      </c>
      <c r="AE206" t="s">
        <v>1765</v>
      </c>
      <c r="AF206" t="s">
        <v>1766</v>
      </c>
      <c r="AG206" t="s">
        <v>680</v>
      </c>
      <c r="AH206" t="s">
        <v>1767</v>
      </c>
      <c r="AI206" t="s">
        <v>1768</v>
      </c>
      <c r="AJ206" t="s">
        <v>171</v>
      </c>
      <c r="AK206" t="s">
        <v>15</v>
      </c>
      <c r="AL206" t="s">
        <v>647</v>
      </c>
      <c r="AM206" t="s">
        <v>9</v>
      </c>
      <c r="AN206" t="s">
        <v>240</v>
      </c>
      <c r="AO206" t="s">
        <v>302</v>
      </c>
      <c r="AP206" t="s">
        <v>58</v>
      </c>
    </row>
    <row r="207" spans="1:42" x14ac:dyDescent="0.3">
      <c r="A207" t="s">
        <v>22</v>
      </c>
      <c r="B207" t="s">
        <v>269</v>
      </c>
      <c r="C207" t="s">
        <v>24</v>
      </c>
      <c r="D207" t="s">
        <v>187</v>
      </c>
      <c r="E207" t="s">
        <v>278</v>
      </c>
      <c r="F207" t="s">
        <v>9</v>
      </c>
      <c r="G207" t="s">
        <v>777</v>
      </c>
      <c r="H207" t="s">
        <v>676</v>
      </c>
      <c r="I207" t="s">
        <v>164</v>
      </c>
      <c r="J207" t="s">
        <v>42</v>
      </c>
      <c r="K207" t="s">
        <v>14</v>
      </c>
      <c r="L207" t="s">
        <v>3</v>
      </c>
      <c r="M207" t="s">
        <v>197</v>
      </c>
      <c r="N207" t="s">
        <v>33</v>
      </c>
      <c r="O207" t="s">
        <v>24</v>
      </c>
      <c r="P207" t="s">
        <v>600</v>
      </c>
      <c r="Q207" t="s">
        <v>181</v>
      </c>
      <c r="R207" t="s">
        <v>303</v>
      </c>
      <c r="S207" t="s">
        <v>279</v>
      </c>
      <c r="T207" t="s">
        <v>600</v>
      </c>
      <c r="U207" t="s">
        <v>666</v>
      </c>
      <c r="V207" t="s">
        <v>675</v>
      </c>
      <c r="W207" t="s">
        <v>27</v>
      </c>
      <c r="X207" t="s">
        <v>1769</v>
      </c>
      <c r="Y207" t="s">
        <v>990</v>
      </c>
      <c r="Z207" t="s">
        <v>3</v>
      </c>
      <c r="AA207" t="s">
        <v>24</v>
      </c>
      <c r="AB207" t="s">
        <v>27</v>
      </c>
      <c r="AC207" t="s">
        <v>1770</v>
      </c>
      <c r="AD207" t="s">
        <v>600</v>
      </c>
      <c r="AE207" t="s">
        <v>1450</v>
      </c>
      <c r="AF207" t="s">
        <v>1771</v>
      </c>
      <c r="AG207" t="s">
        <v>484</v>
      </c>
      <c r="AH207" t="s">
        <v>210</v>
      </c>
      <c r="AI207" t="s">
        <v>1772</v>
      </c>
      <c r="AJ207" t="s">
        <v>356</v>
      </c>
      <c r="AK207" t="s">
        <v>3</v>
      </c>
      <c r="AL207" t="s">
        <v>1687</v>
      </c>
      <c r="AM207" t="s">
        <v>3</v>
      </c>
      <c r="AN207" t="s">
        <v>252</v>
      </c>
      <c r="AO207" t="s">
        <v>27</v>
      </c>
      <c r="AP207" t="s">
        <v>58</v>
      </c>
    </row>
    <row r="208" spans="1:42" x14ac:dyDescent="0.3">
      <c r="A208" t="s">
        <v>7</v>
      </c>
      <c r="B208" t="s">
        <v>181</v>
      </c>
      <c r="C208" t="s">
        <v>111</v>
      </c>
      <c r="D208" t="s">
        <v>128</v>
      </c>
      <c r="E208" t="s">
        <v>110</v>
      </c>
      <c r="F208" t="s">
        <v>9</v>
      </c>
      <c r="G208" t="s">
        <v>1773</v>
      </c>
      <c r="H208" t="s">
        <v>664</v>
      </c>
      <c r="I208" t="s">
        <v>109</v>
      </c>
      <c r="J208" t="s">
        <v>185</v>
      </c>
      <c r="K208" t="s">
        <v>14</v>
      </c>
      <c r="L208" t="s">
        <v>9</v>
      </c>
      <c r="M208" t="s">
        <v>166</v>
      </c>
      <c r="N208" t="s">
        <v>14</v>
      </c>
      <c r="O208" t="s">
        <v>9</v>
      </c>
      <c r="P208" t="s">
        <v>324</v>
      </c>
      <c r="Q208" t="s">
        <v>185</v>
      </c>
      <c r="R208" t="s">
        <v>148</v>
      </c>
      <c r="S208" t="s">
        <v>254</v>
      </c>
      <c r="T208" t="s">
        <v>186</v>
      </c>
      <c r="U208" t="s">
        <v>280</v>
      </c>
      <c r="V208" t="s">
        <v>1518</v>
      </c>
      <c r="W208" t="s">
        <v>28</v>
      </c>
      <c r="X208" t="s">
        <v>1543</v>
      </c>
      <c r="Y208" t="s">
        <v>1100</v>
      </c>
      <c r="Z208" t="s">
        <v>3</v>
      </c>
      <c r="AA208" t="s">
        <v>28</v>
      </c>
      <c r="AB208" t="s">
        <v>14</v>
      </c>
      <c r="AC208" t="s">
        <v>1774</v>
      </c>
      <c r="AD208" t="s">
        <v>200</v>
      </c>
      <c r="AE208" t="s">
        <v>1775</v>
      </c>
      <c r="AF208" t="s">
        <v>1776</v>
      </c>
      <c r="AG208" t="s">
        <v>555</v>
      </c>
      <c r="AH208" t="s">
        <v>287</v>
      </c>
      <c r="AI208" t="s">
        <v>1777</v>
      </c>
      <c r="AJ208" t="s">
        <v>103</v>
      </c>
      <c r="AK208" t="s">
        <v>42</v>
      </c>
      <c r="AL208" t="s">
        <v>580</v>
      </c>
      <c r="AM208" t="s">
        <v>9</v>
      </c>
      <c r="AN208" t="s">
        <v>237</v>
      </c>
      <c r="AO208" t="s">
        <v>164</v>
      </c>
      <c r="AP208" t="s">
        <v>58</v>
      </c>
    </row>
    <row r="209" spans="1:42" x14ac:dyDescent="0.3">
      <c r="A209" t="s">
        <v>57</v>
      </c>
      <c r="B209" t="s">
        <v>109</v>
      </c>
      <c r="C209" t="s">
        <v>113</v>
      </c>
      <c r="D209" t="s">
        <v>325</v>
      </c>
      <c r="E209" t="s">
        <v>202</v>
      </c>
      <c r="F209" t="s">
        <v>14</v>
      </c>
      <c r="G209" t="s">
        <v>542</v>
      </c>
      <c r="H209" t="s">
        <v>446</v>
      </c>
      <c r="I209" t="s">
        <v>164</v>
      </c>
      <c r="J209" t="s">
        <v>24</v>
      </c>
      <c r="K209" t="s">
        <v>33</v>
      </c>
      <c r="L209" t="s">
        <v>15</v>
      </c>
      <c r="M209" t="s">
        <v>163</v>
      </c>
      <c r="N209" t="s">
        <v>24</v>
      </c>
      <c r="O209" t="s">
        <v>9</v>
      </c>
      <c r="P209" t="s">
        <v>169</v>
      </c>
      <c r="Q209" t="s">
        <v>146</v>
      </c>
      <c r="R209" t="s">
        <v>408</v>
      </c>
      <c r="S209" t="s">
        <v>517</v>
      </c>
      <c r="T209" t="s">
        <v>959</v>
      </c>
      <c r="U209" t="s">
        <v>1221</v>
      </c>
      <c r="V209" t="s">
        <v>1466</v>
      </c>
      <c r="W209" t="s">
        <v>3</v>
      </c>
      <c r="X209" t="s">
        <v>1778</v>
      </c>
      <c r="Y209" t="s">
        <v>972</v>
      </c>
      <c r="Z209" t="s">
        <v>24</v>
      </c>
      <c r="AA209" t="s">
        <v>24</v>
      </c>
      <c r="AB209" t="s">
        <v>9</v>
      </c>
      <c r="AC209" t="s">
        <v>1779</v>
      </c>
      <c r="AD209" t="s">
        <v>163</v>
      </c>
      <c r="AE209" t="s">
        <v>1780</v>
      </c>
      <c r="AF209" t="s">
        <v>1781</v>
      </c>
      <c r="AG209" t="s">
        <v>1100</v>
      </c>
      <c r="AH209" t="s">
        <v>577</v>
      </c>
      <c r="AI209" t="s">
        <v>1782</v>
      </c>
      <c r="AJ209" t="s">
        <v>336</v>
      </c>
      <c r="AK209" t="s">
        <v>27</v>
      </c>
      <c r="AL209" t="s">
        <v>1209</v>
      </c>
      <c r="AM209" t="s">
        <v>9</v>
      </c>
      <c r="AN209" t="s">
        <v>240</v>
      </c>
      <c r="AO209" t="s">
        <v>108</v>
      </c>
      <c r="AP209" t="s">
        <v>58</v>
      </c>
    </row>
    <row r="210" spans="1:42" x14ac:dyDescent="0.3">
      <c r="A210" t="s">
        <v>53</v>
      </c>
      <c r="B210" t="s">
        <v>109</v>
      </c>
      <c r="C210" t="s">
        <v>108</v>
      </c>
      <c r="D210" t="s">
        <v>356</v>
      </c>
      <c r="E210" t="s">
        <v>224</v>
      </c>
      <c r="F210" t="s">
        <v>15</v>
      </c>
      <c r="G210" t="s">
        <v>1209</v>
      </c>
      <c r="H210" t="s">
        <v>348</v>
      </c>
      <c r="I210" t="s">
        <v>34</v>
      </c>
      <c r="J210" t="s">
        <v>185</v>
      </c>
      <c r="K210" t="s">
        <v>27</v>
      </c>
      <c r="L210" t="s">
        <v>15</v>
      </c>
      <c r="M210" t="s">
        <v>182</v>
      </c>
      <c r="N210" t="s">
        <v>9</v>
      </c>
      <c r="O210" t="s">
        <v>15</v>
      </c>
      <c r="P210" t="s">
        <v>325</v>
      </c>
      <c r="Q210" t="s">
        <v>33</v>
      </c>
      <c r="R210" t="s">
        <v>165</v>
      </c>
      <c r="S210" t="s">
        <v>1186</v>
      </c>
      <c r="T210" t="s">
        <v>504</v>
      </c>
      <c r="U210" t="s">
        <v>492</v>
      </c>
      <c r="V210" t="s">
        <v>1783</v>
      </c>
      <c r="W210" t="s">
        <v>27</v>
      </c>
      <c r="X210" t="s">
        <v>218</v>
      </c>
      <c r="Y210" t="s">
        <v>741</v>
      </c>
      <c r="Z210" t="s">
        <v>15</v>
      </c>
      <c r="AA210" t="s">
        <v>9</v>
      </c>
      <c r="AB210" t="s">
        <v>9</v>
      </c>
      <c r="AC210" t="s">
        <v>1784</v>
      </c>
      <c r="AD210" t="s">
        <v>145</v>
      </c>
      <c r="AE210" t="s">
        <v>1563</v>
      </c>
      <c r="AF210" t="s">
        <v>1174</v>
      </c>
      <c r="AG210" t="s">
        <v>637</v>
      </c>
      <c r="AH210" t="s">
        <v>327</v>
      </c>
      <c r="AI210" t="s">
        <v>1785</v>
      </c>
      <c r="AJ210" t="s">
        <v>114</v>
      </c>
      <c r="AK210" t="s">
        <v>33</v>
      </c>
      <c r="AL210" t="s">
        <v>424</v>
      </c>
      <c r="AM210" t="s">
        <v>15</v>
      </c>
      <c r="AN210" t="s">
        <v>237</v>
      </c>
      <c r="AO210" t="s">
        <v>109</v>
      </c>
      <c r="AP210" t="s">
        <v>58</v>
      </c>
    </row>
    <row r="211" spans="1:42" x14ac:dyDescent="0.3">
      <c r="A211" t="s">
        <v>55</v>
      </c>
      <c r="B211" t="s">
        <v>109</v>
      </c>
      <c r="C211" t="s">
        <v>269</v>
      </c>
      <c r="D211" t="s">
        <v>182</v>
      </c>
      <c r="E211" t="s">
        <v>110</v>
      </c>
      <c r="F211" t="s">
        <v>3</v>
      </c>
      <c r="G211" t="s">
        <v>1786</v>
      </c>
      <c r="H211" t="s">
        <v>559</v>
      </c>
      <c r="I211" t="s">
        <v>34</v>
      </c>
      <c r="J211" t="s">
        <v>146</v>
      </c>
      <c r="K211" t="s">
        <v>27</v>
      </c>
      <c r="L211" t="s">
        <v>3</v>
      </c>
      <c r="M211" t="s">
        <v>486</v>
      </c>
      <c r="N211" t="s">
        <v>42</v>
      </c>
      <c r="O211" t="s">
        <v>27</v>
      </c>
      <c r="P211" t="s">
        <v>154</v>
      </c>
      <c r="Q211" t="s">
        <v>42</v>
      </c>
      <c r="R211" t="s">
        <v>165</v>
      </c>
      <c r="S211" t="s">
        <v>915</v>
      </c>
      <c r="T211" t="s">
        <v>253</v>
      </c>
      <c r="U211" t="s">
        <v>698</v>
      </c>
      <c r="V211" t="s">
        <v>1081</v>
      </c>
      <c r="W211" t="s">
        <v>14</v>
      </c>
      <c r="X211" t="s">
        <v>1074</v>
      </c>
      <c r="Y211" t="s">
        <v>1371</v>
      </c>
      <c r="Z211" t="s">
        <v>9</v>
      </c>
      <c r="AA211" t="s">
        <v>27</v>
      </c>
      <c r="AB211" t="s">
        <v>27</v>
      </c>
      <c r="AC211" t="s">
        <v>1787</v>
      </c>
      <c r="AD211" t="s">
        <v>125</v>
      </c>
      <c r="AE211" t="s">
        <v>1788</v>
      </c>
      <c r="AF211" t="s">
        <v>1789</v>
      </c>
      <c r="AG211" t="s">
        <v>1273</v>
      </c>
      <c r="AH211" t="s">
        <v>1041</v>
      </c>
      <c r="AI211" t="s">
        <v>1790</v>
      </c>
      <c r="AJ211" t="s">
        <v>303</v>
      </c>
      <c r="AK211" t="s">
        <v>9</v>
      </c>
      <c r="AL211" t="s">
        <v>1791</v>
      </c>
      <c r="AM211" t="s">
        <v>15</v>
      </c>
      <c r="AN211" t="s">
        <v>249</v>
      </c>
      <c r="AO211" t="s">
        <v>113</v>
      </c>
      <c r="AP211" t="s">
        <v>58</v>
      </c>
    </row>
    <row r="212" spans="1:42" x14ac:dyDescent="0.3">
      <c r="A212" t="s">
        <v>50</v>
      </c>
      <c r="B212" t="s">
        <v>109</v>
      </c>
      <c r="C212" t="s">
        <v>113</v>
      </c>
      <c r="D212" t="s">
        <v>132</v>
      </c>
      <c r="E212" t="s">
        <v>166</v>
      </c>
      <c r="F212" t="s">
        <v>9</v>
      </c>
      <c r="G212" t="s">
        <v>460</v>
      </c>
      <c r="H212" t="s">
        <v>1106</v>
      </c>
      <c r="I212" t="s">
        <v>109</v>
      </c>
      <c r="J212" t="s">
        <v>27</v>
      </c>
      <c r="K212" t="s">
        <v>14</v>
      </c>
      <c r="L212" t="s">
        <v>15</v>
      </c>
      <c r="M212" t="s">
        <v>124</v>
      </c>
      <c r="N212" t="s">
        <v>27</v>
      </c>
      <c r="O212" t="s">
        <v>15</v>
      </c>
      <c r="P212" t="s">
        <v>172</v>
      </c>
      <c r="Q212" t="s">
        <v>131</v>
      </c>
      <c r="R212" t="s">
        <v>182</v>
      </c>
      <c r="S212" t="s">
        <v>558</v>
      </c>
      <c r="T212" t="s">
        <v>188</v>
      </c>
      <c r="U212" t="s">
        <v>1201</v>
      </c>
      <c r="V212" t="s">
        <v>1505</v>
      </c>
      <c r="W212" t="s">
        <v>3</v>
      </c>
      <c r="X212" t="s">
        <v>1098</v>
      </c>
      <c r="Y212" t="s">
        <v>399</v>
      </c>
      <c r="Z212" t="s">
        <v>3</v>
      </c>
      <c r="AA212" t="s">
        <v>42</v>
      </c>
      <c r="AB212" t="s">
        <v>28</v>
      </c>
      <c r="AC212" t="s">
        <v>1792</v>
      </c>
      <c r="AD212" t="s">
        <v>147</v>
      </c>
      <c r="AE212" t="s">
        <v>1793</v>
      </c>
      <c r="AF212" t="s">
        <v>1794</v>
      </c>
      <c r="AG212" t="s">
        <v>1795</v>
      </c>
      <c r="AH212" t="s">
        <v>310</v>
      </c>
      <c r="AI212" t="s">
        <v>1796</v>
      </c>
      <c r="AJ212" t="s">
        <v>291</v>
      </c>
      <c r="AK212" t="s">
        <v>27</v>
      </c>
      <c r="AL212" t="s">
        <v>1325</v>
      </c>
      <c r="AM212" t="s">
        <v>3</v>
      </c>
      <c r="AN212" t="s">
        <v>302</v>
      </c>
      <c r="AO212" t="s">
        <v>109</v>
      </c>
      <c r="AP212" t="s">
        <v>58</v>
      </c>
    </row>
    <row r="213" spans="1:42" x14ac:dyDescent="0.3">
      <c r="A213" t="s">
        <v>48</v>
      </c>
      <c r="B213" t="s">
        <v>109</v>
      </c>
      <c r="C213" t="s">
        <v>108</v>
      </c>
      <c r="D213" t="s">
        <v>249</v>
      </c>
      <c r="E213" t="s">
        <v>237</v>
      </c>
      <c r="F213" t="s">
        <v>15</v>
      </c>
      <c r="G213" t="s">
        <v>1797</v>
      </c>
      <c r="H213" t="s">
        <v>559</v>
      </c>
      <c r="I213" t="s">
        <v>146</v>
      </c>
      <c r="J213" t="s">
        <v>151</v>
      </c>
      <c r="K213" t="s">
        <v>14</v>
      </c>
      <c r="L213" t="s">
        <v>9</v>
      </c>
      <c r="M213" t="s">
        <v>421</v>
      </c>
      <c r="N213" t="s">
        <v>24</v>
      </c>
      <c r="O213" t="s">
        <v>3</v>
      </c>
      <c r="P213" t="s">
        <v>268</v>
      </c>
      <c r="Q213" t="s">
        <v>34</v>
      </c>
      <c r="R213" t="s">
        <v>568</v>
      </c>
      <c r="S213" t="s">
        <v>785</v>
      </c>
      <c r="T213" t="s">
        <v>531</v>
      </c>
      <c r="U213" t="s">
        <v>930</v>
      </c>
      <c r="V213" t="s">
        <v>1798</v>
      </c>
      <c r="W213" t="s">
        <v>3</v>
      </c>
      <c r="X213" t="s">
        <v>206</v>
      </c>
      <c r="Y213" t="s">
        <v>1154</v>
      </c>
      <c r="Z213" t="s">
        <v>24</v>
      </c>
      <c r="AA213" t="s">
        <v>42</v>
      </c>
      <c r="AB213" t="s">
        <v>28</v>
      </c>
      <c r="AC213" t="s">
        <v>1799</v>
      </c>
      <c r="AD213" t="s">
        <v>151</v>
      </c>
      <c r="AE213" t="s">
        <v>1800</v>
      </c>
      <c r="AF213" t="s">
        <v>1801</v>
      </c>
      <c r="AG213" t="s">
        <v>230</v>
      </c>
      <c r="AH213" t="s">
        <v>287</v>
      </c>
      <c r="AI213" t="s">
        <v>1802</v>
      </c>
      <c r="AJ213" t="s">
        <v>125</v>
      </c>
      <c r="AK213" t="s">
        <v>9</v>
      </c>
      <c r="AL213" t="s">
        <v>378</v>
      </c>
      <c r="AM213" t="s">
        <v>3</v>
      </c>
      <c r="AN213" t="s">
        <v>110</v>
      </c>
      <c r="AO213" t="s">
        <v>113</v>
      </c>
      <c r="AP213" t="s">
        <v>58</v>
      </c>
    </row>
    <row r="214" spans="1:42" x14ac:dyDescent="0.3">
      <c r="A214" t="s">
        <v>35</v>
      </c>
      <c r="B214" t="s">
        <v>109</v>
      </c>
      <c r="C214" t="s">
        <v>181</v>
      </c>
      <c r="D214" t="s">
        <v>227</v>
      </c>
      <c r="E214" t="s">
        <v>112</v>
      </c>
      <c r="F214" t="s">
        <v>15</v>
      </c>
      <c r="G214" t="s">
        <v>1803</v>
      </c>
      <c r="H214" t="s">
        <v>517</v>
      </c>
      <c r="I214" t="s">
        <v>111</v>
      </c>
      <c r="J214" t="s">
        <v>113</v>
      </c>
      <c r="K214" t="s">
        <v>3</v>
      </c>
      <c r="L214" t="s">
        <v>3</v>
      </c>
      <c r="M214" t="s">
        <v>124</v>
      </c>
      <c r="N214" t="s">
        <v>28</v>
      </c>
      <c r="O214" t="s">
        <v>14</v>
      </c>
      <c r="P214" t="s">
        <v>166</v>
      </c>
      <c r="Q214" t="s">
        <v>28</v>
      </c>
      <c r="R214" t="s">
        <v>163</v>
      </c>
      <c r="S214" t="s">
        <v>459</v>
      </c>
      <c r="T214" t="s">
        <v>959</v>
      </c>
      <c r="U214" t="s">
        <v>923</v>
      </c>
      <c r="V214" t="s">
        <v>388</v>
      </c>
      <c r="W214" t="s">
        <v>15</v>
      </c>
      <c r="X214" t="s">
        <v>1270</v>
      </c>
      <c r="Y214" t="s">
        <v>1804</v>
      </c>
      <c r="Z214" t="s">
        <v>3</v>
      </c>
      <c r="AA214" t="s">
        <v>14</v>
      </c>
      <c r="AB214" t="s">
        <v>14</v>
      </c>
      <c r="AC214" t="s">
        <v>1805</v>
      </c>
      <c r="AD214" t="s">
        <v>124</v>
      </c>
      <c r="AE214" t="s">
        <v>1806</v>
      </c>
      <c r="AF214" t="s">
        <v>1807</v>
      </c>
      <c r="AG214" t="s">
        <v>1024</v>
      </c>
      <c r="AH214" t="s">
        <v>648</v>
      </c>
      <c r="AI214" t="s">
        <v>1808</v>
      </c>
      <c r="AJ214" t="s">
        <v>126</v>
      </c>
      <c r="AK214" t="s">
        <v>14</v>
      </c>
      <c r="AL214" t="s">
        <v>731</v>
      </c>
      <c r="AM214" t="s">
        <v>15</v>
      </c>
      <c r="AN214" t="s">
        <v>169</v>
      </c>
      <c r="AO214" t="s">
        <v>146</v>
      </c>
      <c r="AP214" t="s">
        <v>58</v>
      </c>
    </row>
    <row r="215" spans="1:42" x14ac:dyDescent="0.3">
      <c r="A215" t="s">
        <v>18</v>
      </c>
      <c r="B215" t="s">
        <v>109</v>
      </c>
      <c r="C215" t="s">
        <v>181</v>
      </c>
      <c r="D215" t="s">
        <v>197</v>
      </c>
      <c r="E215" t="s">
        <v>278</v>
      </c>
      <c r="F215" t="s">
        <v>24</v>
      </c>
      <c r="G215" t="s">
        <v>528</v>
      </c>
      <c r="H215" t="s">
        <v>348</v>
      </c>
      <c r="I215" t="s">
        <v>131</v>
      </c>
      <c r="J215" t="s">
        <v>131</v>
      </c>
      <c r="K215" t="s">
        <v>14</v>
      </c>
      <c r="L215" t="s">
        <v>14</v>
      </c>
      <c r="M215" t="s">
        <v>132</v>
      </c>
      <c r="N215" t="s">
        <v>28</v>
      </c>
      <c r="O215" t="s">
        <v>14</v>
      </c>
      <c r="P215" t="s">
        <v>136</v>
      </c>
      <c r="Q215" t="s">
        <v>146</v>
      </c>
      <c r="R215" t="s">
        <v>127</v>
      </c>
      <c r="S215" t="s">
        <v>367</v>
      </c>
      <c r="T215" t="s">
        <v>889</v>
      </c>
      <c r="U215" t="s">
        <v>411</v>
      </c>
      <c r="V215" t="s">
        <v>713</v>
      </c>
      <c r="W215" t="s">
        <v>27</v>
      </c>
      <c r="X215" t="s">
        <v>1809</v>
      </c>
      <c r="Y215" t="s">
        <v>1810</v>
      </c>
      <c r="Z215" t="s">
        <v>15</v>
      </c>
      <c r="AA215" t="s">
        <v>34</v>
      </c>
      <c r="AB215" t="s">
        <v>24</v>
      </c>
      <c r="AC215" t="s">
        <v>1811</v>
      </c>
      <c r="AD215" t="s">
        <v>124</v>
      </c>
      <c r="AE215" t="s">
        <v>1812</v>
      </c>
      <c r="AF215" t="s">
        <v>1693</v>
      </c>
      <c r="AG215" t="s">
        <v>883</v>
      </c>
      <c r="AH215" t="s">
        <v>764</v>
      </c>
      <c r="AI215" t="s">
        <v>1813</v>
      </c>
      <c r="AJ215" t="s">
        <v>126</v>
      </c>
      <c r="AK215" t="s">
        <v>14</v>
      </c>
      <c r="AL215" t="s">
        <v>1427</v>
      </c>
      <c r="AM215" t="s">
        <v>3</v>
      </c>
      <c r="AN215" t="s">
        <v>197</v>
      </c>
      <c r="AO215" t="s">
        <v>111</v>
      </c>
      <c r="AP215" t="s">
        <v>58</v>
      </c>
    </row>
    <row r="216" spans="1:42" x14ac:dyDescent="0.3">
      <c r="A216" t="s">
        <v>40</v>
      </c>
      <c r="B216" t="s">
        <v>111</v>
      </c>
      <c r="C216" t="s">
        <v>145</v>
      </c>
      <c r="D216" t="s">
        <v>486</v>
      </c>
      <c r="E216" t="s">
        <v>154</v>
      </c>
      <c r="F216" t="s">
        <v>9</v>
      </c>
      <c r="G216" t="s">
        <v>1707</v>
      </c>
      <c r="H216" t="s">
        <v>153</v>
      </c>
      <c r="I216" t="s">
        <v>24</v>
      </c>
      <c r="J216" t="s">
        <v>27</v>
      </c>
      <c r="K216" t="s">
        <v>28</v>
      </c>
      <c r="L216" t="s">
        <v>14</v>
      </c>
      <c r="M216" t="s">
        <v>336</v>
      </c>
      <c r="N216" t="s">
        <v>34</v>
      </c>
      <c r="O216" t="s">
        <v>9</v>
      </c>
      <c r="P216" t="s">
        <v>203</v>
      </c>
      <c r="Q216" t="s">
        <v>146</v>
      </c>
      <c r="R216" t="s">
        <v>325</v>
      </c>
      <c r="S216" t="s">
        <v>472</v>
      </c>
      <c r="T216" t="s">
        <v>294</v>
      </c>
      <c r="U216" t="s">
        <v>1154</v>
      </c>
      <c r="V216" t="s">
        <v>167</v>
      </c>
      <c r="W216" t="s">
        <v>9</v>
      </c>
      <c r="X216" t="s">
        <v>1814</v>
      </c>
      <c r="Y216" t="s">
        <v>106</v>
      </c>
      <c r="Z216" t="s">
        <v>9</v>
      </c>
      <c r="AA216" t="s">
        <v>24</v>
      </c>
      <c r="AB216" t="s">
        <v>27</v>
      </c>
      <c r="AC216" t="s">
        <v>1815</v>
      </c>
      <c r="AD216" t="s">
        <v>108</v>
      </c>
      <c r="AE216" t="s">
        <v>1816</v>
      </c>
      <c r="AF216" t="s">
        <v>1817</v>
      </c>
      <c r="AG216" t="s">
        <v>505</v>
      </c>
      <c r="AH216" t="s">
        <v>186</v>
      </c>
      <c r="AI216" t="s">
        <v>1818</v>
      </c>
      <c r="AJ216" t="s">
        <v>269</v>
      </c>
      <c r="AK216" t="s">
        <v>28</v>
      </c>
      <c r="AL216" t="s">
        <v>826</v>
      </c>
      <c r="AM216" t="s">
        <v>3</v>
      </c>
      <c r="AN216" t="s">
        <v>303</v>
      </c>
      <c r="AO216" t="s">
        <v>131</v>
      </c>
      <c r="AP216" t="s">
        <v>58</v>
      </c>
    </row>
    <row r="217" spans="1:42" x14ac:dyDescent="0.3">
      <c r="A217" t="s">
        <v>37</v>
      </c>
      <c r="B217" t="s">
        <v>111</v>
      </c>
      <c r="C217" t="s">
        <v>113</v>
      </c>
      <c r="D217" t="s">
        <v>132</v>
      </c>
      <c r="E217" t="s">
        <v>568</v>
      </c>
      <c r="F217" t="s">
        <v>9</v>
      </c>
      <c r="G217" t="s">
        <v>1272</v>
      </c>
      <c r="H217" t="s">
        <v>502</v>
      </c>
      <c r="I217" t="s">
        <v>131</v>
      </c>
      <c r="J217" t="s">
        <v>33</v>
      </c>
      <c r="K217" t="s">
        <v>27</v>
      </c>
      <c r="L217" t="s">
        <v>9</v>
      </c>
      <c r="M217" t="s">
        <v>240</v>
      </c>
      <c r="N217" t="s">
        <v>24</v>
      </c>
      <c r="O217" t="s">
        <v>15</v>
      </c>
      <c r="P217" t="s">
        <v>279</v>
      </c>
      <c r="Q217" t="s">
        <v>111</v>
      </c>
      <c r="R217" t="s">
        <v>237</v>
      </c>
      <c r="S217" t="s">
        <v>134</v>
      </c>
      <c r="T217" t="s">
        <v>648</v>
      </c>
      <c r="U217" t="s">
        <v>857</v>
      </c>
      <c r="V217" t="s">
        <v>918</v>
      </c>
      <c r="W217" t="s">
        <v>14</v>
      </c>
      <c r="X217" t="s">
        <v>1391</v>
      </c>
      <c r="Y217" t="s">
        <v>399</v>
      </c>
      <c r="Z217" t="s">
        <v>24</v>
      </c>
      <c r="AA217" t="s">
        <v>14</v>
      </c>
      <c r="AB217" t="s">
        <v>3</v>
      </c>
      <c r="AC217" t="s">
        <v>1819</v>
      </c>
      <c r="AD217" t="s">
        <v>187</v>
      </c>
      <c r="AE217" t="s">
        <v>1740</v>
      </c>
      <c r="AF217" t="s">
        <v>1820</v>
      </c>
      <c r="AG217" t="s">
        <v>1821</v>
      </c>
      <c r="AH217" t="s">
        <v>686</v>
      </c>
      <c r="AI217" t="s">
        <v>1822</v>
      </c>
      <c r="AJ217" t="s">
        <v>132</v>
      </c>
      <c r="AK217" t="s">
        <v>24</v>
      </c>
      <c r="AL217" t="s">
        <v>1823</v>
      </c>
      <c r="AM217" t="s">
        <v>3</v>
      </c>
      <c r="AN217" t="s">
        <v>421</v>
      </c>
      <c r="AO217" t="s">
        <v>133</v>
      </c>
      <c r="AP217" t="s">
        <v>58</v>
      </c>
    </row>
    <row r="218" spans="1:42" x14ac:dyDescent="0.3">
      <c r="A218" t="s">
        <v>8</v>
      </c>
      <c r="B218" t="s">
        <v>111</v>
      </c>
      <c r="C218" t="s">
        <v>145</v>
      </c>
      <c r="D218" t="s">
        <v>421</v>
      </c>
      <c r="E218" t="s">
        <v>198</v>
      </c>
      <c r="F218" t="s">
        <v>24</v>
      </c>
      <c r="G218" t="s">
        <v>1475</v>
      </c>
      <c r="H218" t="s">
        <v>470</v>
      </c>
      <c r="I218" t="s">
        <v>33</v>
      </c>
      <c r="J218" t="s">
        <v>42</v>
      </c>
      <c r="K218" t="s">
        <v>14</v>
      </c>
      <c r="L218" t="s">
        <v>15</v>
      </c>
      <c r="M218" t="s">
        <v>240</v>
      </c>
      <c r="N218" t="s">
        <v>27</v>
      </c>
      <c r="O218" t="s">
        <v>15</v>
      </c>
      <c r="P218" t="s">
        <v>345</v>
      </c>
      <c r="Q218" t="s">
        <v>33</v>
      </c>
      <c r="R218" t="s">
        <v>322</v>
      </c>
      <c r="S218" t="s">
        <v>785</v>
      </c>
      <c r="T218" t="s">
        <v>312</v>
      </c>
      <c r="U218" t="s">
        <v>1541</v>
      </c>
      <c r="V218" t="s">
        <v>962</v>
      </c>
      <c r="W218" t="s">
        <v>15</v>
      </c>
      <c r="X218" t="s">
        <v>1824</v>
      </c>
      <c r="Y218" t="s">
        <v>1825</v>
      </c>
      <c r="Z218" t="s">
        <v>9</v>
      </c>
      <c r="AA218" t="s">
        <v>27</v>
      </c>
      <c r="AB218" t="s">
        <v>14</v>
      </c>
      <c r="AC218" t="s">
        <v>1826</v>
      </c>
      <c r="AD218" t="s">
        <v>135</v>
      </c>
      <c r="AE218" t="s">
        <v>1827</v>
      </c>
      <c r="AF218" t="s">
        <v>1828</v>
      </c>
      <c r="AG218" t="s">
        <v>409</v>
      </c>
      <c r="AH218" t="s">
        <v>942</v>
      </c>
      <c r="AI218" t="s">
        <v>1601</v>
      </c>
      <c r="AJ218" t="s">
        <v>125</v>
      </c>
      <c r="AK218" t="s">
        <v>14</v>
      </c>
      <c r="AL218" t="s">
        <v>1369</v>
      </c>
      <c r="AM218" t="s">
        <v>3</v>
      </c>
      <c r="AN218" t="s">
        <v>169</v>
      </c>
      <c r="AO218" t="s">
        <v>171</v>
      </c>
      <c r="AP218" t="s">
        <v>58</v>
      </c>
    </row>
    <row r="219" spans="1:42" x14ac:dyDescent="0.3">
      <c r="A219" t="s">
        <v>38</v>
      </c>
      <c r="B219" t="s">
        <v>42</v>
      </c>
      <c r="C219" t="s">
        <v>135</v>
      </c>
      <c r="D219" t="s">
        <v>124</v>
      </c>
      <c r="E219" t="s">
        <v>408</v>
      </c>
      <c r="F219" t="s">
        <v>24</v>
      </c>
      <c r="G219" t="s">
        <v>1376</v>
      </c>
      <c r="H219" t="s">
        <v>530</v>
      </c>
      <c r="I219" t="s">
        <v>146</v>
      </c>
      <c r="J219" t="s">
        <v>24</v>
      </c>
      <c r="K219" t="s">
        <v>14</v>
      </c>
      <c r="L219" t="s">
        <v>9</v>
      </c>
      <c r="M219" t="s">
        <v>423</v>
      </c>
      <c r="N219" t="s">
        <v>27</v>
      </c>
      <c r="O219" t="s">
        <v>14</v>
      </c>
      <c r="P219" t="s">
        <v>433</v>
      </c>
      <c r="Q219" t="s">
        <v>24</v>
      </c>
      <c r="R219" t="s">
        <v>112</v>
      </c>
      <c r="S219" t="s">
        <v>502</v>
      </c>
      <c r="T219" t="s">
        <v>184</v>
      </c>
      <c r="U219" t="s">
        <v>978</v>
      </c>
      <c r="V219" t="s">
        <v>1121</v>
      </c>
      <c r="W219" t="s">
        <v>14</v>
      </c>
      <c r="X219" t="s">
        <v>1670</v>
      </c>
      <c r="Y219" t="s">
        <v>868</v>
      </c>
      <c r="Z219" t="s">
        <v>24</v>
      </c>
      <c r="AA219" t="s">
        <v>185</v>
      </c>
      <c r="AB219" t="s">
        <v>111</v>
      </c>
      <c r="AC219" t="s">
        <v>1829</v>
      </c>
      <c r="AD219" t="s">
        <v>132</v>
      </c>
      <c r="AE219" t="s">
        <v>1830</v>
      </c>
      <c r="AF219" t="s">
        <v>1831</v>
      </c>
      <c r="AG219" t="s">
        <v>1309</v>
      </c>
      <c r="AH219" t="s">
        <v>1106</v>
      </c>
      <c r="AI219" t="s">
        <v>1832</v>
      </c>
      <c r="AJ219" t="s">
        <v>269</v>
      </c>
      <c r="AK219" t="s">
        <v>28</v>
      </c>
      <c r="AL219" t="s">
        <v>1803</v>
      </c>
      <c r="AM219" t="s">
        <v>9</v>
      </c>
      <c r="AN219" t="s">
        <v>421</v>
      </c>
      <c r="AO219" t="s">
        <v>269</v>
      </c>
      <c r="AP219" t="s">
        <v>58</v>
      </c>
    </row>
    <row r="220" spans="1:42" x14ac:dyDescent="0.3">
      <c r="A220" t="s">
        <v>29</v>
      </c>
      <c r="B220" t="s">
        <v>28</v>
      </c>
      <c r="C220" t="s">
        <v>302</v>
      </c>
      <c r="D220" t="s">
        <v>303</v>
      </c>
      <c r="E220" t="s">
        <v>278</v>
      </c>
      <c r="F220" t="s">
        <v>27</v>
      </c>
      <c r="G220" t="s">
        <v>1360</v>
      </c>
      <c r="H220" t="s">
        <v>270</v>
      </c>
      <c r="I220" t="s">
        <v>27</v>
      </c>
      <c r="J220" t="s">
        <v>3</v>
      </c>
      <c r="K220" t="s">
        <v>24</v>
      </c>
      <c r="L220" t="s">
        <v>15</v>
      </c>
      <c r="M220" t="s">
        <v>302</v>
      </c>
      <c r="N220" t="s">
        <v>14</v>
      </c>
      <c r="O220" t="s">
        <v>15</v>
      </c>
      <c r="P220" t="s">
        <v>278</v>
      </c>
      <c r="Q220" t="s">
        <v>28</v>
      </c>
      <c r="R220" t="s">
        <v>699</v>
      </c>
      <c r="S220" t="s">
        <v>1256</v>
      </c>
      <c r="T220" t="s">
        <v>1159</v>
      </c>
      <c r="U220" t="s">
        <v>1833</v>
      </c>
      <c r="V220" t="s">
        <v>1651</v>
      </c>
      <c r="W220" t="s">
        <v>15</v>
      </c>
      <c r="X220" t="s">
        <v>1834</v>
      </c>
      <c r="Y220" t="s">
        <v>972</v>
      </c>
      <c r="Z220" t="s">
        <v>9</v>
      </c>
      <c r="AA220" t="s">
        <v>27</v>
      </c>
      <c r="AB220" t="s">
        <v>27</v>
      </c>
      <c r="AC220" t="s">
        <v>1835</v>
      </c>
      <c r="AD220" t="s">
        <v>200</v>
      </c>
      <c r="AE220" t="s">
        <v>1836</v>
      </c>
      <c r="AF220" t="s">
        <v>733</v>
      </c>
      <c r="AG220" t="s">
        <v>972</v>
      </c>
      <c r="AH220" t="s">
        <v>648</v>
      </c>
      <c r="AI220" t="s">
        <v>1837</v>
      </c>
      <c r="AJ220" t="s">
        <v>164</v>
      </c>
      <c r="AK220" t="s">
        <v>24</v>
      </c>
      <c r="AL220" t="s">
        <v>951</v>
      </c>
      <c r="AM220" t="s">
        <v>15</v>
      </c>
      <c r="AN220" t="s">
        <v>147</v>
      </c>
      <c r="AO220" t="s">
        <v>126</v>
      </c>
      <c r="AP220" t="s">
        <v>58</v>
      </c>
    </row>
    <row r="221" spans="1:42" x14ac:dyDescent="0.3">
      <c r="A221" t="s">
        <v>17</v>
      </c>
      <c r="B221" t="s">
        <v>24</v>
      </c>
      <c r="C221" t="s">
        <v>145</v>
      </c>
      <c r="D221" t="s">
        <v>114</v>
      </c>
      <c r="E221" t="s">
        <v>224</v>
      </c>
      <c r="F221" t="s">
        <v>3</v>
      </c>
      <c r="G221" t="s">
        <v>1838</v>
      </c>
      <c r="H221" t="s">
        <v>377</v>
      </c>
      <c r="I221" t="s">
        <v>28</v>
      </c>
      <c r="J221" t="s">
        <v>34</v>
      </c>
      <c r="K221" t="s">
        <v>9</v>
      </c>
      <c r="L221" t="s">
        <v>15</v>
      </c>
      <c r="M221" t="s">
        <v>302</v>
      </c>
      <c r="N221" t="s">
        <v>3</v>
      </c>
      <c r="O221" t="s">
        <v>14</v>
      </c>
      <c r="P221" t="s">
        <v>163</v>
      </c>
      <c r="Q221" t="s">
        <v>111</v>
      </c>
      <c r="R221" t="s">
        <v>169</v>
      </c>
      <c r="S221" t="s">
        <v>367</v>
      </c>
      <c r="T221" t="s">
        <v>186</v>
      </c>
      <c r="U221" t="s">
        <v>936</v>
      </c>
      <c r="V221" t="s">
        <v>891</v>
      </c>
      <c r="W221" t="s">
        <v>27</v>
      </c>
      <c r="X221" t="s">
        <v>1465</v>
      </c>
      <c r="Y221" t="s">
        <v>540</v>
      </c>
      <c r="Z221" t="s">
        <v>15</v>
      </c>
      <c r="AA221" t="s">
        <v>24</v>
      </c>
      <c r="AB221" t="s">
        <v>27</v>
      </c>
      <c r="AC221" t="s">
        <v>1839</v>
      </c>
      <c r="AD221" t="s">
        <v>124</v>
      </c>
      <c r="AE221" t="s">
        <v>1840</v>
      </c>
      <c r="AF221" t="s">
        <v>1841</v>
      </c>
      <c r="AG221" t="s">
        <v>628</v>
      </c>
      <c r="AH221" t="s">
        <v>253</v>
      </c>
      <c r="AI221" t="s">
        <v>1842</v>
      </c>
      <c r="AJ221" t="s">
        <v>164</v>
      </c>
      <c r="AK221" t="s">
        <v>27</v>
      </c>
      <c r="AL221" t="s">
        <v>1065</v>
      </c>
      <c r="AM221" t="s">
        <v>15</v>
      </c>
      <c r="AN221" t="s">
        <v>486</v>
      </c>
      <c r="AO221" t="s">
        <v>181</v>
      </c>
      <c r="AP221" t="s">
        <v>58</v>
      </c>
    </row>
    <row r="222" spans="1:42" x14ac:dyDescent="0.3">
      <c r="A222" t="s">
        <v>26</v>
      </c>
      <c r="B222" t="s">
        <v>252</v>
      </c>
      <c r="C222" t="s">
        <v>9</v>
      </c>
      <c r="D222" t="s">
        <v>1413</v>
      </c>
      <c r="E222" t="s">
        <v>166</v>
      </c>
      <c r="F222" t="s">
        <v>9</v>
      </c>
      <c r="G222" t="s">
        <v>1843</v>
      </c>
      <c r="H222" t="s">
        <v>1681</v>
      </c>
      <c r="I222" t="s">
        <v>133</v>
      </c>
      <c r="J222" t="s">
        <v>109</v>
      </c>
      <c r="K222" t="s">
        <v>28</v>
      </c>
      <c r="L222" t="s">
        <v>3</v>
      </c>
      <c r="M222" t="s">
        <v>410</v>
      </c>
      <c r="N222" t="s">
        <v>185</v>
      </c>
      <c r="O222" t="s">
        <v>27</v>
      </c>
      <c r="P222" t="s">
        <v>408</v>
      </c>
      <c r="Q222" t="s">
        <v>269</v>
      </c>
      <c r="R222" t="s">
        <v>114</v>
      </c>
      <c r="S222" t="s">
        <v>128</v>
      </c>
      <c r="T222" t="s">
        <v>169</v>
      </c>
      <c r="U222" t="s">
        <v>1844</v>
      </c>
      <c r="V222" t="s">
        <v>999</v>
      </c>
      <c r="W222" t="s">
        <v>14</v>
      </c>
      <c r="X222" t="s">
        <v>1434</v>
      </c>
      <c r="Y222" t="s">
        <v>1845</v>
      </c>
      <c r="Z222" t="s">
        <v>9</v>
      </c>
      <c r="AA222" t="s">
        <v>9</v>
      </c>
      <c r="AB222" t="s">
        <v>15</v>
      </c>
      <c r="AC222" t="s">
        <v>1846</v>
      </c>
      <c r="AD222" t="s">
        <v>929</v>
      </c>
      <c r="AE222" t="s">
        <v>1847</v>
      </c>
      <c r="AF222" t="s">
        <v>1848</v>
      </c>
      <c r="AG222" t="s">
        <v>1849</v>
      </c>
      <c r="AH222" t="s">
        <v>1315</v>
      </c>
      <c r="AI222" t="s">
        <v>1850</v>
      </c>
      <c r="AJ222" t="s">
        <v>165</v>
      </c>
      <c r="AK222" t="s">
        <v>27</v>
      </c>
      <c r="AL222" t="s">
        <v>1851</v>
      </c>
      <c r="AM222" t="s">
        <v>9</v>
      </c>
      <c r="AN222" t="s">
        <v>108</v>
      </c>
      <c r="AO222" t="s">
        <v>151</v>
      </c>
      <c r="AP222" t="s">
        <v>59</v>
      </c>
    </row>
    <row r="223" spans="1:42" x14ac:dyDescent="0.3">
      <c r="A223" t="s">
        <v>22</v>
      </c>
      <c r="B223" t="s">
        <v>125</v>
      </c>
      <c r="C223" t="s">
        <v>33</v>
      </c>
      <c r="D223" t="s">
        <v>322</v>
      </c>
      <c r="E223" t="s">
        <v>127</v>
      </c>
      <c r="F223" t="s">
        <v>3</v>
      </c>
      <c r="G223" t="s">
        <v>1541</v>
      </c>
      <c r="H223" t="s">
        <v>333</v>
      </c>
      <c r="I223" t="s">
        <v>113</v>
      </c>
      <c r="J223" t="s">
        <v>109</v>
      </c>
      <c r="K223" t="s">
        <v>3</v>
      </c>
      <c r="L223" t="s">
        <v>9</v>
      </c>
      <c r="M223" t="s">
        <v>237</v>
      </c>
      <c r="N223" t="s">
        <v>185</v>
      </c>
      <c r="O223" t="s">
        <v>27</v>
      </c>
      <c r="P223" t="s">
        <v>180</v>
      </c>
      <c r="Q223" t="s">
        <v>164</v>
      </c>
      <c r="R223" t="s">
        <v>103</v>
      </c>
      <c r="S223" t="s">
        <v>929</v>
      </c>
      <c r="T223" t="s">
        <v>889</v>
      </c>
      <c r="U223" t="s">
        <v>491</v>
      </c>
      <c r="V223" t="s">
        <v>1523</v>
      </c>
      <c r="W223" t="s">
        <v>15</v>
      </c>
      <c r="X223" t="s">
        <v>736</v>
      </c>
      <c r="Y223" t="s">
        <v>922</v>
      </c>
      <c r="Z223" t="s">
        <v>9</v>
      </c>
      <c r="AA223" t="s">
        <v>3</v>
      </c>
      <c r="AB223" t="s">
        <v>3</v>
      </c>
      <c r="AC223" t="s">
        <v>1852</v>
      </c>
      <c r="AD223" t="s">
        <v>279</v>
      </c>
      <c r="AE223" t="s">
        <v>1853</v>
      </c>
      <c r="AF223" t="s">
        <v>1854</v>
      </c>
      <c r="AG223" t="s">
        <v>958</v>
      </c>
      <c r="AH223" t="s">
        <v>255</v>
      </c>
      <c r="AI223" t="s">
        <v>1284</v>
      </c>
      <c r="AJ223" t="s">
        <v>214</v>
      </c>
      <c r="AK223" t="s">
        <v>27</v>
      </c>
      <c r="AL223" t="s">
        <v>1803</v>
      </c>
      <c r="AM223" t="s">
        <v>15</v>
      </c>
      <c r="AN223" t="s">
        <v>145</v>
      </c>
      <c r="AO223" t="s">
        <v>28</v>
      </c>
      <c r="AP223" t="s">
        <v>59</v>
      </c>
    </row>
    <row r="224" spans="1:42" x14ac:dyDescent="0.3">
      <c r="A224" t="s">
        <v>21</v>
      </c>
      <c r="B224" t="s">
        <v>133</v>
      </c>
      <c r="C224" t="s">
        <v>33</v>
      </c>
      <c r="D224" t="s">
        <v>136</v>
      </c>
      <c r="E224" t="s">
        <v>356</v>
      </c>
      <c r="F224" t="s">
        <v>9</v>
      </c>
      <c r="G224" t="s">
        <v>1609</v>
      </c>
      <c r="H224" t="s">
        <v>130</v>
      </c>
      <c r="I224" t="s">
        <v>185</v>
      </c>
      <c r="J224" t="s">
        <v>111</v>
      </c>
      <c r="K224" t="s">
        <v>9</v>
      </c>
      <c r="L224" t="s">
        <v>3</v>
      </c>
      <c r="M224" t="s">
        <v>127</v>
      </c>
      <c r="N224" t="s">
        <v>111</v>
      </c>
      <c r="O224" t="s">
        <v>34</v>
      </c>
      <c r="P224" t="s">
        <v>180</v>
      </c>
      <c r="Q224" t="s">
        <v>113</v>
      </c>
      <c r="R224" t="s">
        <v>240</v>
      </c>
      <c r="S224" t="s">
        <v>410</v>
      </c>
      <c r="T224" t="s">
        <v>136</v>
      </c>
      <c r="U224" t="s">
        <v>1414</v>
      </c>
      <c r="V224" t="s">
        <v>962</v>
      </c>
      <c r="W224" t="s">
        <v>14</v>
      </c>
      <c r="X224" t="s">
        <v>933</v>
      </c>
      <c r="Y224" t="s">
        <v>1475</v>
      </c>
      <c r="Z224" t="s">
        <v>3</v>
      </c>
      <c r="AA224" t="s">
        <v>14</v>
      </c>
      <c r="AB224" t="s">
        <v>9</v>
      </c>
      <c r="AC224" t="s">
        <v>1855</v>
      </c>
      <c r="AD224" t="s">
        <v>104</v>
      </c>
      <c r="AE224" t="s">
        <v>1856</v>
      </c>
      <c r="AF224" t="s">
        <v>1816</v>
      </c>
      <c r="AG224" t="s">
        <v>933</v>
      </c>
      <c r="AH224" t="s">
        <v>155</v>
      </c>
      <c r="AI224" t="s">
        <v>1857</v>
      </c>
      <c r="AJ224" t="s">
        <v>356</v>
      </c>
      <c r="AK224" t="s">
        <v>3</v>
      </c>
      <c r="AL224" t="s">
        <v>1221</v>
      </c>
      <c r="AM224" t="s">
        <v>15</v>
      </c>
      <c r="AN224" t="s">
        <v>145</v>
      </c>
      <c r="AO224" t="s">
        <v>108</v>
      </c>
      <c r="AP224" t="s">
        <v>59</v>
      </c>
    </row>
    <row r="225" spans="1:42" x14ac:dyDescent="0.3">
      <c r="A225" t="s">
        <v>25</v>
      </c>
      <c r="B225" t="s">
        <v>108</v>
      </c>
      <c r="C225" t="s">
        <v>146</v>
      </c>
      <c r="D225" t="s">
        <v>128</v>
      </c>
      <c r="E225" t="s">
        <v>214</v>
      </c>
      <c r="F225" t="s">
        <v>27</v>
      </c>
      <c r="G225" t="s">
        <v>703</v>
      </c>
      <c r="H225" t="s">
        <v>255</v>
      </c>
      <c r="I225" t="s">
        <v>111</v>
      </c>
      <c r="J225" t="s">
        <v>181</v>
      </c>
      <c r="K225" t="s">
        <v>14</v>
      </c>
      <c r="L225" t="s">
        <v>9</v>
      </c>
      <c r="M225" t="s">
        <v>202</v>
      </c>
      <c r="N225" t="s">
        <v>146</v>
      </c>
      <c r="O225" t="s">
        <v>3</v>
      </c>
      <c r="P225" t="s">
        <v>1186</v>
      </c>
      <c r="Q225" t="s">
        <v>113</v>
      </c>
      <c r="R225" t="s">
        <v>200</v>
      </c>
      <c r="S225" t="s">
        <v>104</v>
      </c>
      <c r="T225" t="s">
        <v>963</v>
      </c>
      <c r="U225" t="s">
        <v>469</v>
      </c>
      <c r="V225" t="s">
        <v>129</v>
      </c>
      <c r="W225" t="s">
        <v>3</v>
      </c>
      <c r="X225" t="s">
        <v>865</v>
      </c>
      <c r="Y225" t="s">
        <v>212</v>
      </c>
      <c r="Z225" t="s">
        <v>9</v>
      </c>
      <c r="AA225" t="s">
        <v>9</v>
      </c>
      <c r="AB225" t="s">
        <v>9</v>
      </c>
      <c r="AC225" t="s">
        <v>1858</v>
      </c>
      <c r="AD225" t="s">
        <v>568</v>
      </c>
      <c r="AE225" t="s">
        <v>1859</v>
      </c>
      <c r="AF225" t="s">
        <v>1860</v>
      </c>
      <c r="AG225" t="s">
        <v>937</v>
      </c>
      <c r="AH225" t="s">
        <v>599</v>
      </c>
      <c r="AI225" t="s">
        <v>1861</v>
      </c>
      <c r="AJ225" t="s">
        <v>182</v>
      </c>
      <c r="AK225" t="s">
        <v>14</v>
      </c>
      <c r="AL225" t="s">
        <v>1823</v>
      </c>
      <c r="AM225" t="s">
        <v>15</v>
      </c>
      <c r="AN225" t="s">
        <v>114</v>
      </c>
      <c r="AO225" t="s">
        <v>109</v>
      </c>
      <c r="AP225" t="s">
        <v>59</v>
      </c>
    </row>
    <row r="226" spans="1:42" x14ac:dyDescent="0.3">
      <c r="A226" t="s">
        <v>2</v>
      </c>
      <c r="B226" t="s">
        <v>108</v>
      </c>
      <c r="C226" t="s">
        <v>24</v>
      </c>
      <c r="D226" t="s">
        <v>198</v>
      </c>
      <c r="E226" t="s">
        <v>148</v>
      </c>
      <c r="F226" t="s">
        <v>3</v>
      </c>
      <c r="G226" t="s">
        <v>167</v>
      </c>
      <c r="H226" t="s">
        <v>283</v>
      </c>
      <c r="I226" t="s">
        <v>113</v>
      </c>
      <c r="J226" t="s">
        <v>109</v>
      </c>
      <c r="K226" t="s">
        <v>9</v>
      </c>
      <c r="L226" t="s">
        <v>9</v>
      </c>
      <c r="M226" t="s">
        <v>503</v>
      </c>
      <c r="N226" t="s">
        <v>42</v>
      </c>
      <c r="O226" t="s">
        <v>42</v>
      </c>
      <c r="P226" t="s">
        <v>568</v>
      </c>
      <c r="Q226" t="s">
        <v>181</v>
      </c>
      <c r="R226" t="s">
        <v>200</v>
      </c>
      <c r="S226" t="s">
        <v>408</v>
      </c>
      <c r="T226" t="s">
        <v>433</v>
      </c>
      <c r="U226" t="s">
        <v>1207</v>
      </c>
      <c r="V226" t="s">
        <v>1137</v>
      </c>
      <c r="W226" t="s">
        <v>27</v>
      </c>
      <c r="X226" t="s">
        <v>623</v>
      </c>
      <c r="Y226" t="s">
        <v>1862</v>
      </c>
      <c r="Z226" t="s">
        <v>15</v>
      </c>
      <c r="AA226" t="s">
        <v>28</v>
      </c>
      <c r="AB226" t="s">
        <v>27</v>
      </c>
      <c r="AC226" t="s">
        <v>1863</v>
      </c>
      <c r="AD226" t="s">
        <v>1413</v>
      </c>
      <c r="AE226" t="s">
        <v>1679</v>
      </c>
      <c r="AF226" t="s">
        <v>1864</v>
      </c>
      <c r="AG226" t="s">
        <v>1243</v>
      </c>
      <c r="AH226" t="s">
        <v>599</v>
      </c>
      <c r="AI226" t="s">
        <v>1865</v>
      </c>
      <c r="AJ226" t="s">
        <v>345</v>
      </c>
      <c r="AK226" t="s">
        <v>9</v>
      </c>
      <c r="AL226" t="s">
        <v>1866</v>
      </c>
      <c r="AM226" t="s">
        <v>9</v>
      </c>
      <c r="AN226" t="s">
        <v>125</v>
      </c>
      <c r="AO226" t="s">
        <v>145</v>
      </c>
      <c r="AP226" t="s">
        <v>59</v>
      </c>
    </row>
    <row r="227" spans="1:42" x14ac:dyDescent="0.3">
      <c r="A227" t="s">
        <v>5</v>
      </c>
      <c r="B227" t="s">
        <v>164</v>
      </c>
      <c r="C227" t="s">
        <v>185</v>
      </c>
      <c r="D227" t="s">
        <v>136</v>
      </c>
      <c r="E227" t="s">
        <v>147</v>
      </c>
      <c r="F227" t="s">
        <v>9</v>
      </c>
      <c r="G227" t="s">
        <v>1657</v>
      </c>
      <c r="H227" t="s">
        <v>305</v>
      </c>
      <c r="I227" t="s">
        <v>181</v>
      </c>
      <c r="J227" t="s">
        <v>185</v>
      </c>
      <c r="K227" t="s">
        <v>27</v>
      </c>
      <c r="L227" t="s">
        <v>3</v>
      </c>
      <c r="M227" t="s">
        <v>322</v>
      </c>
      <c r="N227" t="s">
        <v>33</v>
      </c>
      <c r="O227" t="s">
        <v>15</v>
      </c>
      <c r="P227" t="s">
        <v>267</v>
      </c>
      <c r="Q227" t="s">
        <v>185</v>
      </c>
      <c r="R227" t="s">
        <v>163</v>
      </c>
      <c r="S227" t="s">
        <v>377</v>
      </c>
      <c r="T227" t="s">
        <v>1037</v>
      </c>
      <c r="U227" t="s">
        <v>1412</v>
      </c>
      <c r="V227" t="s">
        <v>1609</v>
      </c>
      <c r="W227" t="s">
        <v>24</v>
      </c>
      <c r="X227" t="s">
        <v>902</v>
      </c>
      <c r="Y227" t="s">
        <v>1026</v>
      </c>
      <c r="Z227" t="s">
        <v>15</v>
      </c>
      <c r="AA227" t="s">
        <v>28</v>
      </c>
      <c r="AB227" t="s">
        <v>24</v>
      </c>
      <c r="AC227" t="s">
        <v>1867</v>
      </c>
      <c r="AD227" t="s">
        <v>367</v>
      </c>
      <c r="AE227" t="s">
        <v>1356</v>
      </c>
      <c r="AF227" t="s">
        <v>1868</v>
      </c>
      <c r="AG227" t="s">
        <v>667</v>
      </c>
      <c r="AH227" t="s">
        <v>642</v>
      </c>
      <c r="AI227" t="s">
        <v>1869</v>
      </c>
      <c r="AJ227" t="s">
        <v>147</v>
      </c>
      <c r="AK227" t="s">
        <v>24</v>
      </c>
      <c r="AL227" t="s">
        <v>1603</v>
      </c>
      <c r="AM227" t="s">
        <v>3</v>
      </c>
      <c r="AN227" t="s">
        <v>486</v>
      </c>
      <c r="AO227" t="s">
        <v>126</v>
      </c>
      <c r="AP227" t="s">
        <v>59</v>
      </c>
    </row>
    <row r="228" spans="1:42" x14ac:dyDescent="0.3">
      <c r="A228" t="s">
        <v>40</v>
      </c>
      <c r="B228" t="s">
        <v>131</v>
      </c>
      <c r="C228" t="s">
        <v>109</v>
      </c>
      <c r="D228" t="s">
        <v>240</v>
      </c>
      <c r="E228" t="s">
        <v>154</v>
      </c>
      <c r="F228" t="s">
        <v>15</v>
      </c>
      <c r="G228" t="s">
        <v>1870</v>
      </c>
      <c r="H228" t="s">
        <v>188</v>
      </c>
      <c r="I228" t="s">
        <v>42</v>
      </c>
      <c r="J228" t="s">
        <v>146</v>
      </c>
      <c r="K228" t="s">
        <v>15</v>
      </c>
      <c r="L228" t="s">
        <v>3</v>
      </c>
      <c r="M228" t="s">
        <v>252</v>
      </c>
      <c r="N228" t="s">
        <v>27</v>
      </c>
      <c r="O228" t="s">
        <v>15</v>
      </c>
      <c r="P228" t="s">
        <v>377</v>
      </c>
      <c r="Q228" t="s">
        <v>109</v>
      </c>
      <c r="R228" t="s">
        <v>486</v>
      </c>
      <c r="S228" t="s">
        <v>326</v>
      </c>
      <c r="T228" t="s">
        <v>664</v>
      </c>
      <c r="U228" t="s">
        <v>1105</v>
      </c>
      <c r="V228" t="s">
        <v>946</v>
      </c>
      <c r="W228" t="s">
        <v>9</v>
      </c>
      <c r="X228" t="s">
        <v>1871</v>
      </c>
      <c r="Y228" t="s">
        <v>601</v>
      </c>
      <c r="Z228" t="s">
        <v>3</v>
      </c>
      <c r="AA228" t="s">
        <v>28</v>
      </c>
      <c r="AB228" t="s">
        <v>14</v>
      </c>
      <c r="AC228" t="s">
        <v>1872</v>
      </c>
      <c r="AD228" t="s">
        <v>269</v>
      </c>
      <c r="AE228" t="s">
        <v>1873</v>
      </c>
      <c r="AF228" t="s">
        <v>1874</v>
      </c>
      <c r="AG228" t="s">
        <v>1875</v>
      </c>
      <c r="AH228" t="s">
        <v>700</v>
      </c>
      <c r="AI228" t="s">
        <v>1876</v>
      </c>
      <c r="AJ228" t="s">
        <v>135</v>
      </c>
      <c r="AK228" t="s">
        <v>24</v>
      </c>
      <c r="AL228" t="s">
        <v>1877</v>
      </c>
      <c r="AM228" t="s">
        <v>3</v>
      </c>
      <c r="AN228" t="s">
        <v>105</v>
      </c>
      <c r="AO228" t="s">
        <v>164</v>
      </c>
      <c r="AP228" t="s">
        <v>59</v>
      </c>
    </row>
    <row r="229" spans="1:42" x14ac:dyDescent="0.3">
      <c r="A229" t="s">
        <v>7</v>
      </c>
      <c r="B229" t="s">
        <v>185</v>
      </c>
      <c r="C229" t="s">
        <v>151</v>
      </c>
      <c r="D229" t="s">
        <v>148</v>
      </c>
      <c r="E229" t="s">
        <v>163</v>
      </c>
      <c r="F229" t="s">
        <v>14</v>
      </c>
      <c r="G229" t="s">
        <v>1488</v>
      </c>
      <c r="H229" t="s">
        <v>785</v>
      </c>
      <c r="I229" t="s">
        <v>33</v>
      </c>
      <c r="J229" t="s">
        <v>34</v>
      </c>
      <c r="K229" t="s">
        <v>24</v>
      </c>
      <c r="L229" t="s">
        <v>15</v>
      </c>
      <c r="M229" t="s">
        <v>240</v>
      </c>
      <c r="N229" t="s">
        <v>34</v>
      </c>
      <c r="O229" t="s">
        <v>9</v>
      </c>
      <c r="P229" t="s">
        <v>324</v>
      </c>
      <c r="Q229" t="s">
        <v>146</v>
      </c>
      <c r="R229" t="s">
        <v>635</v>
      </c>
      <c r="S229" t="s">
        <v>785</v>
      </c>
      <c r="T229" t="s">
        <v>446</v>
      </c>
      <c r="U229" t="s">
        <v>1201</v>
      </c>
      <c r="V229" t="s">
        <v>1178</v>
      </c>
      <c r="W229" t="s">
        <v>15</v>
      </c>
      <c r="X229" t="s">
        <v>1878</v>
      </c>
      <c r="Y229" t="s">
        <v>1170</v>
      </c>
      <c r="Z229" t="s">
        <v>3</v>
      </c>
      <c r="AA229" t="s">
        <v>24</v>
      </c>
      <c r="AB229" t="s">
        <v>14</v>
      </c>
      <c r="AC229" t="s">
        <v>1879</v>
      </c>
      <c r="AD229" t="s">
        <v>125</v>
      </c>
      <c r="AE229" t="s">
        <v>1621</v>
      </c>
      <c r="AF229" t="s">
        <v>1880</v>
      </c>
      <c r="AG229" t="s">
        <v>980</v>
      </c>
      <c r="AH229" t="s">
        <v>959</v>
      </c>
      <c r="AI229" t="s">
        <v>1881</v>
      </c>
      <c r="AJ229" t="s">
        <v>240</v>
      </c>
      <c r="AK229" t="s">
        <v>28</v>
      </c>
      <c r="AL229" t="s">
        <v>1882</v>
      </c>
      <c r="AM229" t="s">
        <v>3</v>
      </c>
      <c r="AN229" t="s">
        <v>103</v>
      </c>
      <c r="AO229" t="s">
        <v>133</v>
      </c>
      <c r="AP229" t="s">
        <v>59</v>
      </c>
    </row>
    <row r="230" spans="1:42" x14ac:dyDescent="0.3">
      <c r="A230" t="s">
        <v>55</v>
      </c>
      <c r="B230" t="s">
        <v>109</v>
      </c>
      <c r="C230" t="s">
        <v>151</v>
      </c>
      <c r="D230" t="s">
        <v>237</v>
      </c>
      <c r="E230" t="s">
        <v>202</v>
      </c>
      <c r="F230" t="s">
        <v>24</v>
      </c>
      <c r="G230" t="s">
        <v>469</v>
      </c>
      <c r="H230" t="s">
        <v>186</v>
      </c>
      <c r="I230" t="s">
        <v>34</v>
      </c>
      <c r="J230" t="s">
        <v>42</v>
      </c>
      <c r="K230" t="s">
        <v>24</v>
      </c>
      <c r="L230" t="s">
        <v>3</v>
      </c>
      <c r="M230" t="s">
        <v>268</v>
      </c>
      <c r="N230" t="s">
        <v>33</v>
      </c>
      <c r="O230" t="s">
        <v>33</v>
      </c>
      <c r="P230" t="s">
        <v>282</v>
      </c>
      <c r="Q230" t="s">
        <v>42</v>
      </c>
      <c r="R230" t="s">
        <v>105</v>
      </c>
      <c r="S230" t="s">
        <v>963</v>
      </c>
      <c r="T230" t="s">
        <v>701</v>
      </c>
      <c r="U230" t="s">
        <v>1230</v>
      </c>
      <c r="V230" t="s">
        <v>1651</v>
      </c>
      <c r="W230" t="s">
        <v>3</v>
      </c>
      <c r="X230" t="s">
        <v>1883</v>
      </c>
      <c r="Y230" t="s">
        <v>1176</v>
      </c>
      <c r="Z230" t="s">
        <v>9</v>
      </c>
      <c r="AA230" t="s">
        <v>27</v>
      </c>
      <c r="AB230" t="s">
        <v>9</v>
      </c>
      <c r="AC230" t="s">
        <v>1884</v>
      </c>
      <c r="AD230" t="s">
        <v>165</v>
      </c>
      <c r="AE230" t="s">
        <v>1885</v>
      </c>
      <c r="AF230" t="s">
        <v>1199</v>
      </c>
      <c r="AG230" t="s">
        <v>368</v>
      </c>
      <c r="AH230" t="s">
        <v>327</v>
      </c>
      <c r="AI230" t="s">
        <v>1886</v>
      </c>
      <c r="AJ230" t="s">
        <v>171</v>
      </c>
      <c r="AK230" t="s">
        <v>27</v>
      </c>
      <c r="AL230" t="s">
        <v>1887</v>
      </c>
      <c r="AM230" t="s">
        <v>9</v>
      </c>
      <c r="AN230" t="s">
        <v>303</v>
      </c>
      <c r="AO230" t="s">
        <v>133</v>
      </c>
      <c r="AP230" t="s">
        <v>59</v>
      </c>
    </row>
    <row r="231" spans="1:42" x14ac:dyDescent="0.3">
      <c r="A231" t="s">
        <v>10</v>
      </c>
      <c r="B231" t="s">
        <v>109</v>
      </c>
      <c r="C231" t="s">
        <v>269</v>
      </c>
      <c r="D231" t="s">
        <v>486</v>
      </c>
      <c r="E231" t="s">
        <v>202</v>
      </c>
      <c r="F231" t="s">
        <v>9</v>
      </c>
      <c r="G231" t="s">
        <v>357</v>
      </c>
      <c r="H231" t="s">
        <v>186</v>
      </c>
      <c r="I231" t="s">
        <v>109</v>
      </c>
      <c r="J231" t="s">
        <v>33</v>
      </c>
      <c r="K231" t="s">
        <v>15</v>
      </c>
      <c r="L231" t="s">
        <v>3</v>
      </c>
      <c r="M231" t="s">
        <v>291</v>
      </c>
      <c r="N231" t="s">
        <v>24</v>
      </c>
      <c r="O231" t="s">
        <v>24</v>
      </c>
      <c r="P231" t="s">
        <v>165</v>
      </c>
      <c r="Q231" t="s">
        <v>42</v>
      </c>
      <c r="R231" t="s">
        <v>197</v>
      </c>
      <c r="S231" t="s">
        <v>447</v>
      </c>
      <c r="T231" t="s">
        <v>367</v>
      </c>
      <c r="U231" t="s">
        <v>541</v>
      </c>
      <c r="V231" t="s">
        <v>1178</v>
      </c>
      <c r="W231" t="s">
        <v>28</v>
      </c>
      <c r="X231" t="s">
        <v>1888</v>
      </c>
      <c r="Y231" t="s">
        <v>1657</v>
      </c>
      <c r="Z231" t="s">
        <v>14</v>
      </c>
      <c r="AA231" t="s">
        <v>28</v>
      </c>
      <c r="AB231" t="s">
        <v>27</v>
      </c>
      <c r="AC231" t="s">
        <v>1889</v>
      </c>
      <c r="AD231" t="s">
        <v>408</v>
      </c>
      <c r="AE231" t="s">
        <v>1890</v>
      </c>
      <c r="AF231" t="s">
        <v>1891</v>
      </c>
      <c r="AG231" t="s">
        <v>972</v>
      </c>
      <c r="AH231" t="s">
        <v>700</v>
      </c>
      <c r="AI231" t="s">
        <v>1892</v>
      </c>
      <c r="AJ231" t="s">
        <v>423</v>
      </c>
      <c r="AK231" t="s">
        <v>33</v>
      </c>
      <c r="AL231" t="s">
        <v>928</v>
      </c>
      <c r="AM231" t="s">
        <v>9</v>
      </c>
      <c r="AN231" t="s">
        <v>421</v>
      </c>
      <c r="AO231" t="s">
        <v>269</v>
      </c>
      <c r="AP231" t="s">
        <v>59</v>
      </c>
    </row>
    <row r="232" spans="1:42" x14ac:dyDescent="0.3">
      <c r="A232" t="s">
        <v>57</v>
      </c>
      <c r="B232" t="s">
        <v>111</v>
      </c>
      <c r="C232" t="s">
        <v>113</v>
      </c>
      <c r="D232" t="s">
        <v>249</v>
      </c>
      <c r="E232" t="s">
        <v>325</v>
      </c>
      <c r="F232" t="s">
        <v>3</v>
      </c>
      <c r="G232" t="s">
        <v>238</v>
      </c>
      <c r="H232" t="s">
        <v>595</v>
      </c>
      <c r="I232" t="s">
        <v>146</v>
      </c>
      <c r="J232" t="s">
        <v>27</v>
      </c>
      <c r="K232" t="s">
        <v>14</v>
      </c>
      <c r="L232" t="s">
        <v>3</v>
      </c>
      <c r="M232" t="s">
        <v>200</v>
      </c>
      <c r="N232" t="s">
        <v>33</v>
      </c>
      <c r="O232" t="s">
        <v>15</v>
      </c>
      <c r="P232" t="s">
        <v>202</v>
      </c>
      <c r="Q232" t="s">
        <v>28</v>
      </c>
      <c r="R232" t="s">
        <v>345</v>
      </c>
      <c r="S232" t="s">
        <v>170</v>
      </c>
      <c r="T232" t="s">
        <v>446</v>
      </c>
      <c r="U232" t="s">
        <v>1427</v>
      </c>
      <c r="V232" t="s">
        <v>1893</v>
      </c>
      <c r="W232" t="s">
        <v>14</v>
      </c>
      <c r="X232" t="s">
        <v>206</v>
      </c>
      <c r="Y232" t="s">
        <v>1420</v>
      </c>
      <c r="Z232" t="s">
        <v>3</v>
      </c>
      <c r="AA232" t="s">
        <v>14</v>
      </c>
      <c r="AB232" t="s">
        <v>9</v>
      </c>
      <c r="AC232" t="s">
        <v>1799</v>
      </c>
      <c r="AD232" t="s">
        <v>124</v>
      </c>
      <c r="AE232" t="s">
        <v>663</v>
      </c>
      <c r="AF232" t="s">
        <v>1894</v>
      </c>
      <c r="AG232" t="s">
        <v>1875</v>
      </c>
      <c r="AH232" t="s">
        <v>1262</v>
      </c>
      <c r="AI232" t="s">
        <v>1895</v>
      </c>
      <c r="AJ232" t="s">
        <v>126</v>
      </c>
      <c r="AK232" t="s">
        <v>28</v>
      </c>
      <c r="AL232" t="s">
        <v>212</v>
      </c>
      <c r="AM232" t="s">
        <v>3</v>
      </c>
      <c r="AN232" t="s">
        <v>124</v>
      </c>
      <c r="AO232" t="s">
        <v>145</v>
      </c>
      <c r="AP232" t="s">
        <v>59</v>
      </c>
    </row>
    <row r="233" spans="1:42" x14ac:dyDescent="0.3">
      <c r="A233" t="s">
        <v>53</v>
      </c>
      <c r="B233" t="s">
        <v>111</v>
      </c>
      <c r="C233" t="s">
        <v>113</v>
      </c>
      <c r="D233" t="s">
        <v>249</v>
      </c>
      <c r="E233" t="s">
        <v>110</v>
      </c>
      <c r="F233" t="s">
        <v>15</v>
      </c>
      <c r="G233" t="s">
        <v>767</v>
      </c>
      <c r="H233" t="s">
        <v>472</v>
      </c>
      <c r="I233" t="s">
        <v>34</v>
      </c>
      <c r="J233" t="s">
        <v>27</v>
      </c>
      <c r="K233" t="s">
        <v>34</v>
      </c>
      <c r="L233" t="s">
        <v>3</v>
      </c>
      <c r="M233" t="s">
        <v>486</v>
      </c>
      <c r="N233" t="s">
        <v>28</v>
      </c>
      <c r="O233" t="s">
        <v>14</v>
      </c>
      <c r="P233" t="s">
        <v>237</v>
      </c>
      <c r="Q233" t="s">
        <v>42</v>
      </c>
      <c r="R233" t="s">
        <v>325</v>
      </c>
      <c r="S233" t="s">
        <v>326</v>
      </c>
      <c r="T233" t="s">
        <v>367</v>
      </c>
      <c r="U233" t="s">
        <v>1555</v>
      </c>
      <c r="V233" t="s">
        <v>724</v>
      </c>
      <c r="W233" t="s">
        <v>28</v>
      </c>
      <c r="X233" t="s">
        <v>218</v>
      </c>
      <c r="Y233" t="s">
        <v>1896</v>
      </c>
      <c r="Z233" t="s">
        <v>9</v>
      </c>
      <c r="AA233" t="s">
        <v>9</v>
      </c>
      <c r="AB233" t="s">
        <v>9</v>
      </c>
      <c r="AC233" t="s">
        <v>1897</v>
      </c>
      <c r="AD233" t="s">
        <v>264</v>
      </c>
      <c r="AE233" t="s">
        <v>1698</v>
      </c>
      <c r="AF233" t="s">
        <v>1898</v>
      </c>
      <c r="AG233" t="s">
        <v>1393</v>
      </c>
      <c r="AH233" t="s">
        <v>676</v>
      </c>
      <c r="AI233" t="s">
        <v>1899</v>
      </c>
      <c r="AJ233" t="s">
        <v>325</v>
      </c>
      <c r="AK233" t="s">
        <v>28</v>
      </c>
      <c r="AL233" t="s">
        <v>473</v>
      </c>
      <c r="AM233" t="s">
        <v>15</v>
      </c>
      <c r="AN233" t="s">
        <v>486</v>
      </c>
      <c r="AO233" t="s">
        <v>111</v>
      </c>
      <c r="AP233" t="s">
        <v>59</v>
      </c>
    </row>
    <row r="234" spans="1:42" x14ac:dyDescent="0.3">
      <c r="A234" t="s">
        <v>8</v>
      </c>
      <c r="B234" t="s">
        <v>111</v>
      </c>
      <c r="C234" t="s">
        <v>164</v>
      </c>
      <c r="D234" t="s">
        <v>148</v>
      </c>
      <c r="E234" t="s">
        <v>165</v>
      </c>
      <c r="F234" t="s">
        <v>27</v>
      </c>
      <c r="G234" t="s">
        <v>1195</v>
      </c>
      <c r="H234" t="s">
        <v>213</v>
      </c>
      <c r="I234" t="s">
        <v>34</v>
      </c>
      <c r="J234" t="s">
        <v>42</v>
      </c>
      <c r="K234" t="s">
        <v>14</v>
      </c>
      <c r="L234" t="s">
        <v>15</v>
      </c>
      <c r="M234" t="s">
        <v>200</v>
      </c>
      <c r="N234" t="s">
        <v>28</v>
      </c>
      <c r="O234" t="s">
        <v>3</v>
      </c>
      <c r="P234" t="s">
        <v>136</v>
      </c>
      <c r="Q234" t="s">
        <v>42</v>
      </c>
      <c r="R234" t="s">
        <v>127</v>
      </c>
      <c r="S234" t="s">
        <v>201</v>
      </c>
      <c r="T234" t="s">
        <v>359</v>
      </c>
      <c r="U234" t="s">
        <v>688</v>
      </c>
      <c r="V234" t="s">
        <v>149</v>
      </c>
      <c r="W234" t="s">
        <v>9</v>
      </c>
      <c r="X234" t="s">
        <v>1900</v>
      </c>
      <c r="Y234" t="s">
        <v>1279</v>
      </c>
      <c r="Z234" t="s">
        <v>3</v>
      </c>
      <c r="AA234" t="s">
        <v>28</v>
      </c>
      <c r="AB234" t="s">
        <v>28</v>
      </c>
      <c r="AC234" t="s">
        <v>1901</v>
      </c>
      <c r="AD234" t="s">
        <v>114</v>
      </c>
      <c r="AE234" t="s">
        <v>1902</v>
      </c>
      <c r="AF234" t="s">
        <v>1903</v>
      </c>
      <c r="AG234" t="s">
        <v>828</v>
      </c>
      <c r="AH234" t="s">
        <v>512</v>
      </c>
      <c r="AI234" t="s">
        <v>1904</v>
      </c>
      <c r="AJ234" t="s">
        <v>240</v>
      </c>
      <c r="AK234" t="s">
        <v>24</v>
      </c>
      <c r="AL234" t="s">
        <v>928</v>
      </c>
      <c r="AM234" t="s">
        <v>15</v>
      </c>
      <c r="AN234" t="s">
        <v>125</v>
      </c>
      <c r="AO234" t="s">
        <v>103</v>
      </c>
      <c r="AP234" t="s">
        <v>59</v>
      </c>
    </row>
    <row r="235" spans="1:42" x14ac:dyDescent="0.3">
      <c r="A235" t="s">
        <v>18</v>
      </c>
      <c r="B235" t="s">
        <v>146</v>
      </c>
      <c r="C235" t="s">
        <v>113</v>
      </c>
      <c r="D235" t="s">
        <v>182</v>
      </c>
      <c r="E235" t="s">
        <v>172</v>
      </c>
      <c r="F235" t="s">
        <v>9</v>
      </c>
      <c r="G235" t="s">
        <v>749</v>
      </c>
      <c r="H235" t="s">
        <v>347</v>
      </c>
      <c r="I235" t="s">
        <v>131</v>
      </c>
      <c r="J235" t="s">
        <v>28</v>
      </c>
      <c r="K235" t="s">
        <v>9</v>
      </c>
      <c r="L235" t="s">
        <v>3</v>
      </c>
      <c r="M235" t="s">
        <v>486</v>
      </c>
      <c r="N235" t="s">
        <v>146</v>
      </c>
      <c r="O235" t="s">
        <v>27</v>
      </c>
      <c r="P235" t="s">
        <v>1089</v>
      </c>
      <c r="Q235" t="s">
        <v>146</v>
      </c>
      <c r="R235" t="s">
        <v>322</v>
      </c>
      <c r="S235" t="s">
        <v>326</v>
      </c>
      <c r="T235" t="s">
        <v>290</v>
      </c>
      <c r="U235" t="s">
        <v>473</v>
      </c>
      <c r="V235" t="s">
        <v>1028</v>
      </c>
      <c r="W235" t="s">
        <v>9</v>
      </c>
      <c r="X235" t="s">
        <v>1905</v>
      </c>
      <c r="Y235" t="s">
        <v>806</v>
      </c>
      <c r="Z235" t="s">
        <v>3</v>
      </c>
      <c r="AA235" t="s">
        <v>33</v>
      </c>
      <c r="AB235" t="s">
        <v>24</v>
      </c>
      <c r="AC235" t="s">
        <v>1906</v>
      </c>
      <c r="AD235" t="s">
        <v>163</v>
      </c>
      <c r="AE235" t="s">
        <v>1907</v>
      </c>
      <c r="AF235" t="s">
        <v>1908</v>
      </c>
      <c r="AG235" t="s">
        <v>1235</v>
      </c>
      <c r="AH235" t="s">
        <v>876</v>
      </c>
      <c r="AI235" t="s">
        <v>1909</v>
      </c>
      <c r="AJ235" t="s">
        <v>303</v>
      </c>
      <c r="AK235" t="s">
        <v>27</v>
      </c>
      <c r="AL235" t="s">
        <v>1369</v>
      </c>
      <c r="AM235" t="s">
        <v>3</v>
      </c>
      <c r="AN235" t="s">
        <v>164</v>
      </c>
      <c r="AO235" t="s">
        <v>164</v>
      </c>
      <c r="AP235" t="s">
        <v>59</v>
      </c>
    </row>
    <row r="236" spans="1:42" x14ac:dyDescent="0.3">
      <c r="A236" t="s">
        <v>61</v>
      </c>
      <c r="B236" t="s">
        <v>42</v>
      </c>
      <c r="C236" t="s">
        <v>113</v>
      </c>
      <c r="D236" t="s">
        <v>291</v>
      </c>
      <c r="E236" t="s">
        <v>187</v>
      </c>
      <c r="F236" t="s">
        <v>9</v>
      </c>
      <c r="G236" t="s">
        <v>1910</v>
      </c>
      <c r="H236" t="s">
        <v>270</v>
      </c>
      <c r="I236" t="s">
        <v>34</v>
      </c>
      <c r="J236" t="s">
        <v>33</v>
      </c>
      <c r="K236" t="s">
        <v>24</v>
      </c>
      <c r="L236" t="s">
        <v>15</v>
      </c>
      <c r="M236" t="s">
        <v>264</v>
      </c>
      <c r="N236" t="s">
        <v>27</v>
      </c>
      <c r="O236" t="s">
        <v>15</v>
      </c>
      <c r="P236" t="s">
        <v>359</v>
      </c>
      <c r="Q236" t="s">
        <v>146</v>
      </c>
      <c r="R236" t="s">
        <v>187</v>
      </c>
      <c r="S236" t="s">
        <v>614</v>
      </c>
      <c r="T236" t="s">
        <v>702</v>
      </c>
      <c r="U236" t="s">
        <v>1026</v>
      </c>
      <c r="V236" t="s">
        <v>1911</v>
      </c>
      <c r="W236" t="s">
        <v>3</v>
      </c>
      <c r="X236" t="s">
        <v>1912</v>
      </c>
      <c r="Y236" t="s">
        <v>1810</v>
      </c>
      <c r="Z236" t="s">
        <v>24</v>
      </c>
      <c r="AA236" t="s">
        <v>14</v>
      </c>
      <c r="AB236" t="s">
        <v>3</v>
      </c>
      <c r="AC236" t="s">
        <v>1913</v>
      </c>
      <c r="AD236" t="s">
        <v>252</v>
      </c>
      <c r="AE236" t="s">
        <v>1914</v>
      </c>
      <c r="AF236" t="s">
        <v>1915</v>
      </c>
      <c r="AG236" t="s">
        <v>982</v>
      </c>
      <c r="AH236" t="s">
        <v>723</v>
      </c>
      <c r="AI236" t="s">
        <v>1916</v>
      </c>
      <c r="AJ236" t="s">
        <v>264</v>
      </c>
      <c r="AK236" t="s">
        <v>146</v>
      </c>
      <c r="AL236" t="s">
        <v>1917</v>
      </c>
      <c r="AM236" t="s">
        <v>9</v>
      </c>
      <c r="AN236" t="s">
        <v>200</v>
      </c>
      <c r="AO236" t="s">
        <v>131</v>
      </c>
      <c r="AP236" t="s">
        <v>59</v>
      </c>
    </row>
    <row r="237" spans="1:42" x14ac:dyDescent="0.3">
      <c r="A237" t="s">
        <v>60</v>
      </c>
      <c r="B237" t="s">
        <v>42</v>
      </c>
      <c r="C237" t="s">
        <v>164</v>
      </c>
      <c r="D237" t="s">
        <v>103</v>
      </c>
      <c r="E237" t="s">
        <v>128</v>
      </c>
      <c r="F237" t="s">
        <v>14</v>
      </c>
      <c r="G237" t="s">
        <v>1862</v>
      </c>
      <c r="H237" t="s">
        <v>1361</v>
      </c>
      <c r="I237" t="s">
        <v>34</v>
      </c>
      <c r="J237" t="s">
        <v>24</v>
      </c>
      <c r="K237" t="s">
        <v>9</v>
      </c>
      <c r="L237" t="s">
        <v>15</v>
      </c>
      <c r="M237" t="s">
        <v>114</v>
      </c>
      <c r="N237" t="s">
        <v>3</v>
      </c>
      <c r="O237" t="s">
        <v>9</v>
      </c>
      <c r="P237" t="s">
        <v>408</v>
      </c>
      <c r="Q237" t="s">
        <v>146</v>
      </c>
      <c r="R237" t="s">
        <v>635</v>
      </c>
      <c r="S237" t="s">
        <v>471</v>
      </c>
      <c r="T237" t="s">
        <v>929</v>
      </c>
      <c r="U237" t="s">
        <v>1228</v>
      </c>
      <c r="V237" t="s">
        <v>368</v>
      </c>
      <c r="W237" t="s">
        <v>27</v>
      </c>
      <c r="X237" t="s">
        <v>1918</v>
      </c>
      <c r="Y237" t="s">
        <v>775</v>
      </c>
      <c r="Z237" t="s">
        <v>3</v>
      </c>
      <c r="AA237" t="s">
        <v>28</v>
      </c>
      <c r="AB237" t="s">
        <v>27</v>
      </c>
      <c r="AC237" t="s">
        <v>1919</v>
      </c>
      <c r="AD237" t="s">
        <v>302</v>
      </c>
      <c r="AE237" t="s">
        <v>1069</v>
      </c>
      <c r="AF237" t="s">
        <v>1920</v>
      </c>
      <c r="AG237" t="s">
        <v>685</v>
      </c>
      <c r="AH237" t="s">
        <v>776</v>
      </c>
      <c r="AI237" t="s">
        <v>1921</v>
      </c>
      <c r="AJ237" t="s">
        <v>108</v>
      </c>
      <c r="AK237" t="s">
        <v>28</v>
      </c>
      <c r="AL237" t="s">
        <v>1922</v>
      </c>
      <c r="AM237" t="s">
        <v>9</v>
      </c>
      <c r="AN237" t="s">
        <v>336</v>
      </c>
      <c r="AO237" t="s">
        <v>126</v>
      </c>
      <c r="AP237" t="s">
        <v>59</v>
      </c>
    </row>
    <row r="238" spans="1:42" x14ac:dyDescent="0.3">
      <c r="A238" t="s">
        <v>48</v>
      </c>
      <c r="B238" t="s">
        <v>34</v>
      </c>
      <c r="C238" t="s">
        <v>108</v>
      </c>
      <c r="D238" t="s">
        <v>103</v>
      </c>
      <c r="E238" t="s">
        <v>163</v>
      </c>
      <c r="F238" t="s">
        <v>3</v>
      </c>
      <c r="G238" t="s">
        <v>1743</v>
      </c>
      <c r="H238" t="s">
        <v>471</v>
      </c>
      <c r="I238" t="s">
        <v>34</v>
      </c>
      <c r="J238" t="s">
        <v>14</v>
      </c>
      <c r="K238" t="s">
        <v>3</v>
      </c>
      <c r="L238" t="s">
        <v>15</v>
      </c>
      <c r="M238" t="s">
        <v>126</v>
      </c>
      <c r="N238" t="s">
        <v>27</v>
      </c>
      <c r="O238" t="s">
        <v>15</v>
      </c>
      <c r="P238" t="s">
        <v>200</v>
      </c>
      <c r="Q238" t="s">
        <v>42</v>
      </c>
      <c r="R238" t="s">
        <v>237</v>
      </c>
      <c r="S238" t="s">
        <v>502</v>
      </c>
      <c r="T238" t="s">
        <v>614</v>
      </c>
      <c r="U238" t="s">
        <v>1369</v>
      </c>
      <c r="V238" t="s">
        <v>1253</v>
      </c>
      <c r="W238" t="s">
        <v>9</v>
      </c>
      <c r="X238" t="s">
        <v>729</v>
      </c>
      <c r="Y238" t="s">
        <v>528</v>
      </c>
      <c r="Z238" t="s">
        <v>9</v>
      </c>
      <c r="AA238" t="s">
        <v>33</v>
      </c>
      <c r="AB238" t="s">
        <v>14</v>
      </c>
      <c r="AC238" t="s">
        <v>1923</v>
      </c>
      <c r="AD238" t="s">
        <v>133</v>
      </c>
      <c r="AE238" t="s">
        <v>1924</v>
      </c>
      <c r="AF238" t="s">
        <v>1094</v>
      </c>
      <c r="AG238" t="s">
        <v>1043</v>
      </c>
      <c r="AH238" t="s">
        <v>959</v>
      </c>
      <c r="AI238" t="s">
        <v>1925</v>
      </c>
      <c r="AJ238" t="s">
        <v>302</v>
      </c>
      <c r="AK238" t="s">
        <v>3</v>
      </c>
      <c r="AL238" t="s">
        <v>1209</v>
      </c>
      <c r="AM238" t="s">
        <v>14</v>
      </c>
      <c r="AN238" t="s">
        <v>148</v>
      </c>
      <c r="AO238" t="s">
        <v>151</v>
      </c>
      <c r="AP238" t="s">
        <v>59</v>
      </c>
    </row>
    <row r="239" spans="1:42" x14ac:dyDescent="0.3">
      <c r="A239" t="s">
        <v>50</v>
      </c>
      <c r="B239" t="s">
        <v>33</v>
      </c>
      <c r="C239" t="s">
        <v>113</v>
      </c>
      <c r="D239" t="s">
        <v>124</v>
      </c>
      <c r="E239" t="s">
        <v>165</v>
      </c>
      <c r="F239" t="s">
        <v>9</v>
      </c>
      <c r="G239" t="s">
        <v>1926</v>
      </c>
      <c r="H239" t="s">
        <v>559</v>
      </c>
      <c r="I239" t="s">
        <v>151</v>
      </c>
      <c r="J239" t="s">
        <v>33</v>
      </c>
      <c r="K239" t="s">
        <v>14</v>
      </c>
      <c r="L239" t="s">
        <v>3</v>
      </c>
      <c r="M239" t="s">
        <v>291</v>
      </c>
      <c r="N239" t="s">
        <v>14</v>
      </c>
      <c r="O239" t="s">
        <v>9</v>
      </c>
      <c r="P239" t="s">
        <v>172</v>
      </c>
      <c r="Q239" t="s">
        <v>34</v>
      </c>
      <c r="R239" t="s">
        <v>237</v>
      </c>
      <c r="S239" t="s">
        <v>304</v>
      </c>
      <c r="T239" t="s">
        <v>188</v>
      </c>
      <c r="U239" t="s">
        <v>1927</v>
      </c>
      <c r="V239" t="s">
        <v>1928</v>
      </c>
      <c r="W239" t="s">
        <v>27</v>
      </c>
      <c r="X239" t="s">
        <v>1900</v>
      </c>
      <c r="Y239" t="s">
        <v>856</v>
      </c>
      <c r="Z239" t="s">
        <v>3</v>
      </c>
      <c r="AA239" t="s">
        <v>9</v>
      </c>
      <c r="AB239" t="s">
        <v>3</v>
      </c>
      <c r="AC239" t="s">
        <v>1929</v>
      </c>
      <c r="AD239" t="s">
        <v>237</v>
      </c>
      <c r="AE239" t="s">
        <v>1709</v>
      </c>
      <c r="AF239" t="s">
        <v>1930</v>
      </c>
      <c r="AG239" t="s">
        <v>332</v>
      </c>
      <c r="AH239" t="s">
        <v>1535</v>
      </c>
      <c r="AI239" t="s">
        <v>1931</v>
      </c>
      <c r="AJ239" t="s">
        <v>124</v>
      </c>
      <c r="AK239" t="s">
        <v>27</v>
      </c>
      <c r="AL239" t="s">
        <v>1207</v>
      </c>
      <c r="AM239" t="s">
        <v>3</v>
      </c>
      <c r="AN239" t="s">
        <v>303</v>
      </c>
      <c r="AO239" t="s">
        <v>185</v>
      </c>
      <c r="AP239" t="s">
        <v>59</v>
      </c>
    </row>
    <row r="240" spans="1:42" x14ac:dyDescent="0.3">
      <c r="A240" t="s">
        <v>37</v>
      </c>
      <c r="B240" t="s">
        <v>33</v>
      </c>
      <c r="C240" t="s">
        <v>164</v>
      </c>
      <c r="D240" t="s">
        <v>171</v>
      </c>
      <c r="E240" t="s">
        <v>128</v>
      </c>
      <c r="F240" t="s">
        <v>3</v>
      </c>
      <c r="G240" t="s">
        <v>1910</v>
      </c>
      <c r="H240" t="s">
        <v>213</v>
      </c>
      <c r="I240" t="s">
        <v>34</v>
      </c>
      <c r="J240" t="s">
        <v>34</v>
      </c>
      <c r="K240" t="s">
        <v>15</v>
      </c>
      <c r="L240" t="s">
        <v>3</v>
      </c>
      <c r="M240" t="s">
        <v>103</v>
      </c>
      <c r="N240" t="s">
        <v>34</v>
      </c>
      <c r="O240" t="s">
        <v>9</v>
      </c>
      <c r="P240" t="s">
        <v>215</v>
      </c>
      <c r="Q240" t="s">
        <v>28</v>
      </c>
      <c r="R240" t="s">
        <v>322</v>
      </c>
      <c r="S240" t="s">
        <v>529</v>
      </c>
      <c r="T240" t="s">
        <v>228</v>
      </c>
      <c r="U240" t="s">
        <v>280</v>
      </c>
      <c r="V240" t="s">
        <v>1932</v>
      </c>
      <c r="W240" t="s">
        <v>42</v>
      </c>
      <c r="X240" t="s">
        <v>257</v>
      </c>
      <c r="Y240" t="s">
        <v>759</v>
      </c>
      <c r="Z240" t="s">
        <v>9</v>
      </c>
      <c r="AA240" t="s">
        <v>24</v>
      </c>
      <c r="AB240" t="s">
        <v>24</v>
      </c>
      <c r="AC240" t="s">
        <v>1933</v>
      </c>
      <c r="AD240" t="s">
        <v>423</v>
      </c>
      <c r="AE240" t="s">
        <v>1934</v>
      </c>
      <c r="AF240" t="s">
        <v>1756</v>
      </c>
      <c r="AG240" t="s">
        <v>1075</v>
      </c>
      <c r="AH240" t="s">
        <v>531</v>
      </c>
      <c r="AI240" t="s">
        <v>1935</v>
      </c>
      <c r="AJ240" t="s">
        <v>423</v>
      </c>
      <c r="AK240" t="s">
        <v>14</v>
      </c>
      <c r="AL240" t="s">
        <v>893</v>
      </c>
      <c r="AM240" t="s">
        <v>15</v>
      </c>
      <c r="AN240" t="s">
        <v>114</v>
      </c>
      <c r="AO240" t="s">
        <v>131</v>
      </c>
      <c r="AP240" t="s">
        <v>59</v>
      </c>
    </row>
    <row r="241" spans="1:42" x14ac:dyDescent="0.3">
      <c r="A241" t="s">
        <v>35</v>
      </c>
      <c r="B241" t="s">
        <v>28</v>
      </c>
      <c r="C241" t="s">
        <v>164</v>
      </c>
      <c r="D241" t="s">
        <v>336</v>
      </c>
      <c r="E241" t="s">
        <v>172</v>
      </c>
      <c r="F241" t="s">
        <v>3</v>
      </c>
      <c r="G241" t="s">
        <v>1870</v>
      </c>
      <c r="H241" t="s">
        <v>229</v>
      </c>
      <c r="I241" t="s">
        <v>33</v>
      </c>
      <c r="J241" t="s">
        <v>146</v>
      </c>
      <c r="K241" t="s">
        <v>3</v>
      </c>
      <c r="L241" t="s">
        <v>3</v>
      </c>
      <c r="M241" t="s">
        <v>303</v>
      </c>
      <c r="N241" t="s">
        <v>9</v>
      </c>
      <c r="O241" t="s">
        <v>9</v>
      </c>
      <c r="P241" t="s">
        <v>263</v>
      </c>
      <c r="Q241" t="s">
        <v>146</v>
      </c>
      <c r="R241" t="s">
        <v>237</v>
      </c>
      <c r="S241" t="s">
        <v>313</v>
      </c>
      <c r="T241" t="s">
        <v>740</v>
      </c>
      <c r="U241" t="s">
        <v>580</v>
      </c>
      <c r="V241" t="s">
        <v>1466</v>
      </c>
      <c r="W241" t="s">
        <v>15</v>
      </c>
      <c r="X241" t="s">
        <v>1936</v>
      </c>
      <c r="Y241" t="s">
        <v>689</v>
      </c>
      <c r="Z241" t="s">
        <v>9</v>
      </c>
      <c r="AA241" t="s">
        <v>3</v>
      </c>
      <c r="AB241" t="s">
        <v>3</v>
      </c>
      <c r="AC241" t="s">
        <v>1937</v>
      </c>
      <c r="AD241" t="s">
        <v>291</v>
      </c>
      <c r="AE241" t="s">
        <v>1718</v>
      </c>
      <c r="AF241" t="s">
        <v>1077</v>
      </c>
      <c r="AG241" t="s">
        <v>787</v>
      </c>
      <c r="AH241" t="s">
        <v>1256</v>
      </c>
      <c r="AI241" t="s">
        <v>1938</v>
      </c>
      <c r="AJ241" t="s">
        <v>103</v>
      </c>
      <c r="AK241" t="s">
        <v>14</v>
      </c>
      <c r="AL241" t="s">
        <v>378</v>
      </c>
      <c r="AM241" t="s">
        <v>15</v>
      </c>
      <c r="AN241" t="s">
        <v>421</v>
      </c>
      <c r="AO241" t="s">
        <v>24</v>
      </c>
      <c r="AP241" t="s">
        <v>59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AP241"/>
  <sheetViews>
    <sheetView workbookViewId="0"/>
  </sheetViews>
  <sheetFormatPr defaultRowHeight="14.4" x14ac:dyDescent="0.3"/>
  <cols>
    <col min="1" max="1" width="23.88671875" bestFit="1" customWidth="1"/>
    <col min="2" max="2" width="4.6640625" bestFit="1" customWidth="1"/>
    <col min="3" max="3" width="5.88671875" bestFit="1" customWidth="1"/>
    <col min="4" max="4" width="5.5546875" bestFit="1" customWidth="1"/>
    <col min="5" max="5" width="12.77734375" bestFit="1" customWidth="1"/>
    <col min="6" max="6" width="13.21875" bestFit="1" customWidth="1"/>
    <col min="7" max="7" width="15.109375" bestFit="1" customWidth="1"/>
    <col min="8" max="8" width="18.33203125" bestFit="1" customWidth="1"/>
    <col min="9" max="9" width="12.88671875" bestFit="1" customWidth="1"/>
    <col min="10" max="10" width="10.77734375" bestFit="1" customWidth="1"/>
    <col min="11" max="11" width="11.77734375" bestFit="1" customWidth="1"/>
    <col min="12" max="12" width="15.33203125" bestFit="1" customWidth="1"/>
    <col min="13" max="13" width="12.21875" bestFit="1" customWidth="1"/>
    <col min="14" max="14" width="12.88671875" bestFit="1" customWidth="1"/>
    <col min="15" max="15" width="13.21875" bestFit="1" customWidth="1"/>
    <col min="16" max="16" width="11.5546875" bestFit="1" customWidth="1"/>
    <col min="17" max="17" width="10.77734375" bestFit="1" customWidth="1"/>
    <col min="18" max="18" width="14.21875" bestFit="1" customWidth="1"/>
    <col min="19" max="19" width="5.5546875" bestFit="1" customWidth="1"/>
    <col min="20" max="20" width="14.44140625" bestFit="1" customWidth="1"/>
    <col min="21" max="21" width="10.88671875" bestFit="1" customWidth="1"/>
    <col min="22" max="22" width="10.77734375" bestFit="1" customWidth="1"/>
    <col min="23" max="23" width="14.44140625" bestFit="1" customWidth="1"/>
    <col min="24" max="24" width="13.88671875" bestFit="1" customWidth="1"/>
    <col min="25" max="25" width="14" bestFit="1" customWidth="1"/>
    <col min="26" max="26" width="9.77734375" bestFit="1" customWidth="1"/>
    <col min="27" max="27" width="16" bestFit="1" customWidth="1"/>
    <col min="28" max="28" width="18.33203125" bestFit="1" customWidth="1"/>
    <col min="29" max="29" width="9.44140625" bestFit="1" customWidth="1"/>
    <col min="30" max="30" width="16.21875" bestFit="1" customWidth="1"/>
    <col min="31" max="31" width="14.109375" bestFit="1" customWidth="1"/>
    <col min="32" max="32" width="13.5546875" bestFit="1" customWidth="1"/>
    <col min="33" max="33" width="10.109375" bestFit="1" customWidth="1"/>
    <col min="34" max="34" width="11.88671875" bestFit="1" customWidth="1"/>
    <col min="35" max="35" width="7.5546875" bestFit="1" customWidth="1"/>
    <col min="36" max="36" width="16.77734375" bestFit="1" customWidth="1"/>
    <col min="37" max="37" width="16.33203125" bestFit="1" customWidth="1"/>
    <col min="38" max="38" width="11.44140625" bestFit="1" customWidth="1"/>
    <col min="39" max="39" width="11.6640625" bestFit="1" customWidth="1"/>
    <col min="40" max="40" width="14.6640625" bestFit="1" customWidth="1"/>
    <col min="41" max="41" width="7.6640625" bestFit="1" customWidth="1"/>
    <col min="42" max="42" width="9.6640625" bestFit="1" customWidth="1"/>
  </cols>
  <sheetData>
    <row r="1" spans="1:42" x14ac:dyDescent="0.3">
      <c r="A1" t="s">
        <v>62</v>
      </c>
      <c r="B1" t="s">
        <v>63</v>
      </c>
      <c r="C1" t="s">
        <v>64</v>
      </c>
      <c r="D1" t="s">
        <v>65</v>
      </c>
      <c r="E1" t="s">
        <v>66</v>
      </c>
      <c r="F1" t="s">
        <v>67</v>
      </c>
      <c r="G1" t="s">
        <v>68</v>
      </c>
      <c r="H1" t="s">
        <v>69</v>
      </c>
      <c r="I1" t="s">
        <v>70</v>
      </c>
      <c r="J1" t="s">
        <v>71</v>
      </c>
      <c r="K1" t="s">
        <v>72</v>
      </c>
      <c r="L1" t="s">
        <v>73</v>
      </c>
      <c r="M1" t="s">
        <v>74</v>
      </c>
      <c r="N1" t="s">
        <v>75</v>
      </c>
      <c r="O1" t="s">
        <v>76</v>
      </c>
      <c r="P1" t="s">
        <v>77</v>
      </c>
      <c r="Q1" t="s">
        <v>78</v>
      </c>
      <c r="R1" t="s">
        <v>79</v>
      </c>
      <c r="S1" t="s">
        <v>80</v>
      </c>
      <c r="T1" t="s">
        <v>81</v>
      </c>
      <c r="U1" t="s">
        <v>82</v>
      </c>
      <c r="V1" t="s">
        <v>83</v>
      </c>
      <c r="W1" t="s">
        <v>84</v>
      </c>
      <c r="X1" t="s">
        <v>85</v>
      </c>
      <c r="Y1" t="s">
        <v>86</v>
      </c>
      <c r="Z1" t="s">
        <v>87</v>
      </c>
      <c r="AA1" t="s">
        <v>88</v>
      </c>
      <c r="AB1" t="s">
        <v>89</v>
      </c>
      <c r="AC1" t="s">
        <v>90</v>
      </c>
      <c r="AD1" t="s">
        <v>91</v>
      </c>
      <c r="AE1" t="s">
        <v>92</v>
      </c>
      <c r="AF1" t="s">
        <v>93</v>
      </c>
      <c r="AG1" t="s">
        <v>94</v>
      </c>
      <c r="AH1" t="s">
        <v>95</v>
      </c>
      <c r="AI1" t="s">
        <v>96</v>
      </c>
      <c r="AJ1" t="s">
        <v>97</v>
      </c>
      <c r="AK1" t="s">
        <v>98</v>
      </c>
      <c r="AL1" t="s">
        <v>99</v>
      </c>
      <c r="AM1" t="s">
        <v>100</v>
      </c>
      <c r="AN1" t="s">
        <v>101</v>
      </c>
      <c r="AO1" t="s">
        <v>102</v>
      </c>
      <c r="AP1" t="s">
        <v>0</v>
      </c>
    </row>
    <row r="2" spans="1:42" x14ac:dyDescent="0.3">
      <c r="A2" t="s">
        <v>22</v>
      </c>
      <c r="B2">
        <v>28</v>
      </c>
      <c r="C2">
        <v>5</v>
      </c>
      <c r="D2">
        <v>83</v>
      </c>
      <c r="E2">
        <v>60</v>
      </c>
      <c r="F2">
        <v>1</v>
      </c>
      <c r="G2">
        <v>698</v>
      </c>
      <c r="H2">
        <v>256</v>
      </c>
      <c r="I2">
        <v>21</v>
      </c>
      <c r="J2">
        <v>12</v>
      </c>
      <c r="K2">
        <v>5</v>
      </c>
      <c r="L2">
        <v>1</v>
      </c>
      <c r="M2">
        <v>72</v>
      </c>
      <c r="N2">
        <v>11</v>
      </c>
      <c r="O2">
        <v>9</v>
      </c>
      <c r="P2">
        <v>80</v>
      </c>
      <c r="Q2">
        <v>16</v>
      </c>
      <c r="R2">
        <v>27</v>
      </c>
      <c r="S2">
        <v>2</v>
      </c>
      <c r="T2">
        <v>81</v>
      </c>
      <c r="U2">
        <v>254</v>
      </c>
      <c r="V2">
        <v>890</v>
      </c>
      <c r="W2">
        <v>1</v>
      </c>
      <c r="X2">
        <v>1222</v>
      </c>
      <c r="Z2">
        <v>1</v>
      </c>
      <c r="AA2">
        <v>5</v>
      </c>
      <c r="AB2">
        <v>3</v>
      </c>
      <c r="AC2">
        <v>18723</v>
      </c>
      <c r="AE2">
        <v>2397</v>
      </c>
      <c r="AG2">
        <v>918</v>
      </c>
      <c r="AH2">
        <v>258</v>
      </c>
      <c r="AI2">
        <v>25686</v>
      </c>
      <c r="AK2">
        <v>1</v>
      </c>
      <c r="AM2">
        <v>2</v>
      </c>
      <c r="AN2">
        <v>37</v>
      </c>
      <c r="AO2">
        <v>25</v>
      </c>
      <c r="AP2" t="s">
        <v>4</v>
      </c>
    </row>
    <row r="3" spans="1:42" x14ac:dyDescent="0.3">
      <c r="A3" t="s">
        <v>25</v>
      </c>
      <c r="B3">
        <v>24</v>
      </c>
      <c r="C3">
        <v>3</v>
      </c>
      <c r="D3">
        <v>64</v>
      </c>
      <c r="E3">
        <v>62</v>
      </c>
      <c r="F3">
        <v>4</v>
      </c>
      <c r="G3">
        <v>636</v>
      </c>
      <c r="H3">
        <v>216</v>
      </c>
      <c r="I3">
        <v>14</v>
      </c>
      <c r="J3">
        <v>16</v>
      </c>
      <c r="K3">
        <v>3</v>
      </c>
      <c r="L3">
        <v>6</v>
      </c>
      <c r="M3">
        <v>41</v>
      </c>
      <c r="N3">
        <v>23</v>
      </c>
      <c r="O3">
        <v>6</v>
      </c>
      <c r="P3">
        <v>127</v>
      </c>
      <c r="Q3">
        <v>22</v>
      </c>
      <c r="R3">
        <v>24</v>
      </c>
      <c r="S3">
        <v>4</v>
      </c>
      <c r="T3">
        <v>74</v>
      </c>
      <c r="U3">
        <v>292</v>
      </c>
      <c r="V3">
        <v>982</v>
      </c>
      <c r="W3">
        <v>0</v>
      </c>
      <c r="X3">
        <v>1206</v>
      </c>
      <c r="Z3">
        <v>1</v>
      </c>
      <c r="AA3">
        <v>3</v>
      </c>
      <c r="AB3">
        <v>2</v>
      </c>
      <c r="AC3">
        <v>16759</v>
      </c>
      <c r="AE3">
        <v>2270</v>
      </c>
      <c r="AG3">
        <v>897</v>
      </c>
      <c r="AH3">
        <v>231</v>
      </c>
      <c r="AI3">
        <v>24010</v>
      </c>
      <c r="AK3">
        <v>2</v>
      </c>
      <c r="AM3">
        <v>1</v>
      </c>
      <c r="AN3">
        <v>74</v>
      </c>
      <c r="AO3">
        <v>22</v>
      </c>
      <c r="AP3" t="s">
        <v>4</v>
      </c>
    </row>
    <row r="4" spans="1:42" x14ac:dyDescent="0.3">
      <c r="A4" t="s">
        <v>2</v>
      </c>
      <c r="B4">
        <v>20</v>
      </c>
      <c r="C4">
        <v>10</v>
      </c>
      <c r="D4">
        <v>57</v>
      </c>
      <c r="E4">
        <v>44</v>
      </c>
      <c r="F4">
        <v>0</v>
      </c>
      <c r="G4">
        <v>668</v>
      </c>
      <c r="H4">
        <v>214</v>
      </c>
      <c r="I4">
        <v>15</v>
      </c>
      <c r="J4">
        <v>8</v>
      </c>
      <c r="K4">
        <v>6</v>
      </c>
      <c r="L4">
        <v>1</v>
      </c>
      <c r="M4">
        <v>46</v>
      </c>
      <c r="N4">
        <v>11</v>
      </c>
      <c r="O4">
        <v>3</v>
      </c>
      <c r="P4">
        <v>120</v>
      </c>
      <c r="Q4">
        <v>20</v>
      </c>
      <c r="R4">
        <v>27</v>
      </c>
      <c r="S4">
        <v>1</v>
      </c>
      <c r="T4">
        <v>65</v>
      </c>
      <c r="U4">
        <v>246</v>
      </c>
      <c r="V4">
        <v>969</v>
      </c>
      <c r="W4">
        <v>2</v>
      </c>
      <c r="X4">
        <v>1115</v>
      </c>
      <c r="Z4">
        <v>0</v>
      </c>
      <c r="AA4">
        <v>1</v>
      </c>
      <c r="AB4">
        <v>1</v>
      </c>
      <c r="AC4">
        <v>17154</v>
      </c>
      <c r="AE4">
        <v>2800</v>
      </c>
      <c r="AG4">
        <v>1107</v>
      </c>
      <c r="AH4">
        <v>282</v>
      </c>
      <c r="AI4">
        <v>24150</v>
      </c>
      <c r="AK4">
        <v>1</v>
      </c>
      <c r="AM4">
        <v>0</v>
      </c>
      <c r="AN4">
        <v>51</v>
      </c>
      <c r="AO4">
        <v>27</v>
      </c>
      <c r="AP4" t="s">
        <v>4</v>
      </c>
    </row>
    <row r="5" spans="1:42" x14ac:dyDescent="0.3">
      <c r="A5" t="s">
        <v>5</v>
      </c>
      <c r="B5">
        <v>19</v>
      </c>
      <c r="C5">
        <v>8</v>
      </c>
      <c r="D5">
        <v>63</v>
      </c>
      <c r="E5">
        <v>59</v>
      </c>
      <c r="F5">
        <v>3</v>
      </c>
      <c r="G5">
        <v>638</v>
      </c>
      <c r="H5">
        <v>226</v>
      </c>
      <c r="I5">
        <v>19</v>
      </c>
      <c r="J5">
        <v>10</v>
      </c>
      <c r="K5">
        <v>10</v>
      </c>
      <c r="L5">
        <v>3</v>
      </c>
      <c r="M5">
        <v>53</v>
      </c>
      <c r="N5">
        <v>10</v>
      </c>
      <c r="O5">
        <v>7</v>
      </c>
      <c r="P5">
        <v>111</v>
      </c>
      <c r="Q5">
        <v>12</v>
      </c>
      <c r="R5">
        <v>35</v>
      </c>
      <c r="S5">
        <v>6</v>
      </c>
      <c r="T5">
        <v>73</v>
      </c>
      <c r="U5">
        <v>214</v>
      </c>
      <c r="V5">
        <v>998</v>
      </c>
      <c r="W5">
        <v>1</v>
      </c>
      <c r="X5">
        <v>1202</v>
      </c>
      <c r="Z5">
        <v>1</v>
      </c>
      <c r="AA5">
        <v>3</v>
      </c>
      <c r="AB5">
        <v>3</v>
      </c>
      <c r="AC5">
        <v>18458</v>
      </c>
      <c r="AE5">
        <v>2045</v>
      </c>
      <c r="AG5">
        <v>873</v>
      </c>
      <c r="AH5">
        <v>278</v>
      </c>
      <c r="AI5">
        <v>25592</v>
      </c>
      <c r="AK5">
        <v>1</v>
      </c>
      <c r="AM5">
        <v>0</v>
      </c>
      <c r="AN5">
        <v>88</v>
      </c>
      <c r="AO5">
        <v>27</v>
      </c>
      <c r="AP5" t="s">
        <v>4</v>
      </c>
    </row>
    <row r="6" spans="1:42" x14ac:dyDescent="0.3">
      <c r="A6" t="s">
        <v>21</v>
      </c>
      <c r="B6">
        <v>17</v>
      </c>
      <c r="C6">
        <v>12</v>
      </c>
      <c r="D6">
        <v>57</v>
      </c>
      <c r="E6">
        <v>48</v>
      </c>
      <c r="F6">
        <v>3</v>
      </c>
      <c r="G6">
        <v>520</v>
      </c>
      <c r="H6">
        <v>184</v>
      </c>
      <c r="I6">
        <v>6</v>
      </c>
      <c r="J6">
        <v>5</v>
      </c>
      <c r="K6">
        <v>6</v>
      </c>
      <c r="L6">
        <v>2</v>
      </c>
      <c r="M6">
        <v>44</v>
      </c>
      <c r="N6">
        <v>13</v>
      </c>
      <c r="O6">
        <v>9</v>
      </c>
      <c r="P6">
        <v>149</v>
      </c>
      <c r="Q6">
        <v>6</v>
      </c>
      <c r="R6">
        <v>54</v>
      </c>
      <c r="S6">
        <v>11</v>
      </c>
      <c r="T6">
        <v>128</v>
      </c>
      <c r="U6">
        <v>276</v>
      </c>
      <c r="V6">
        <v>995</v>
      </c>
      <c r="W6">
        <v>2</v>
      </c>
      <c r="X6">
        <v>1412</v>
      </c>
      <c r="Z6">
        <v>2</v>
      </c>
      <c r="AA6">
        <v>7</v>
      </c>
      <c r="AB6">
        <v>6</v>
      </c>
      <c r="AC6">
        <v>14914</v>
      </c>
      <c r="AE6">
        <v>2408</v>
      </c>
      <c r="AG6">
        <v>796</v>
      </c>
      <c r="AH6">
        <v>181</v>
      </c>
      <c r="AI6">
        <v>22200</v>
      </c>
      <c r="AK6">
        <v>2</v>
      </c>
      <c r="AM6">
        <v>0</v>
      </c>
      <c r="AN6">
        <v>51</v>
      </c>
      <c r="AO6">
        <v>24</v>
      </c>
      <c r="AP6" t="s">
        <v>4</v>
      </c>
    </row>
    <row r="7" spans="1:42" x14ac:dyDescent="0.3">
      <c r="A7" t="s">
        <v>20</v>
      </c>
      <c r="B7">
        <v>16</v>
      </c>
      <c r="C7">
        <v>14</v>
      </c>
      <c r="D7">
        <v>47</v>
      </c>
      <c r="E7">
        <v>84</v>
      </c>
      <c r="F7">
        <v>4</v>
      </c>
      <c r="G7">
        <v>404</v>
      </c>
      <c r="H7">
        <v>120</v>
      </c>
      <c r="I7">
        <v>7</v>
      </c>
      <c r="J7">
        <v>10</v>
      </c>
      <c r="K7">
        <v>6</v>
      </c>
      <c r="L7">
        <v>0</v>
      </c>
      <c r="M7">
        <v>38</v>
      </c>
      <c r="N7">
        <v>9</v>
      </c>
      <c r="O7">
        <v>3</v>
      </c>
      <c r="P7">
        <v>95</v>
      </c>
      <c r="Q7">
        <v>12</v>
      </c>
      <c r="R7">
        <v>52</v>
      </c>
      <c r="S7">
        <v>13</v>
      </c>
      <c r="T7">
        <v>101</v>
      </c>
      <c r="U7">
        <v>235</v>
      </c>
      <c r="V7">
        <v>811</v>
      </c>
      <c r="W7">
        <v>0</v>
      </c>
      <c r="X7">
        <v>1037</v>
      </c>
      <c r="Z7">
        <v>3</v>
      </c>
      <c r="AA7">
        <v>8</v>
      </c>
      <c r="AB7">
        <v>6</v>
      </c>
      <c r="AC7">
        <v>12400</v>
      </c>
      <c r="AE7">
        <v>2403</v>
      </c>
      <c r="AG7">
        <v>942</v>
      </c>
      <c r="AH7">
        <v>217</v>
      </c>
      <c r="AI7">
        <v>18932</v>
      </c>
      <c r="AK7">
        <v>6</v>
      </c>
      <c r="AM7">
        <v>2</v>
      </c>
      <c r="AN7">
        <v>44</v>
      </c>
      <c r="AO7">
        <v>21</v>
      </c>
      <c r="AP7" t="s">
        <v>4</v>
      </c>
    </row>
    <row r="8" spans="1:42" x14ac:dyDescent="0.3">
      <c r="A8" t="s">
        <v>16</v>
      </c>
      <c r="B8">
        <v>16</v>
      </c>
      <c r="C8">
        <v>15</v>
      </c>
      <c r="D8">
        <v>52</v>
      </c>
      <c r="E8">
        <v>38</v>
      </c>
      <c r="F8">
        <v>3</v>
      </c>
      <c r="G8">
        <v>419</v>
      </c>
      <c r="H8">
        <v>132</v>
      </c>
      <c r="I8">
        <v>8</v>
      </c>
      <c r="J8">
        <v>15</v>
      </c>
      <c r="K8">
        <v>3</v>
      </c>
      <c r="L8">
        <v>0</v>
      </c>
      <c r="M8">
        <v>42</v>
      </c>
      <c r="N8">
        <v>10</v>
      </c>
      <c r="O8">
        <v>3</v>
      </c>
      <c r="P8">
        <v>87</v>
      </c>
      <c r="Q8">
        <v>13</v>
      </c>
      <c r="R8">
        <v>47</v>
      </c>
      <c r="S8">
        <v>4</v>
      </c>
      <c r="T8">
        <v>95</v>
      </c>
      <c r="U8">
        <v>277</v>
      </c>
      <c r="V8">
        <v>855</v>
      </c>
      <c r="W8">
        <v>0</v>
      </c>
      <c r="X8">
        <v>1022</v>
      </c>
      <c r="Z8">
        <v>3</v>
      </c>
      <c r="AA8">
        <v>6</v>
      </c>
      <c r="AB8">
        <v>6</v>
      </c>
      <c r="AC8">
        <v>11232</v>
      </c>
      <c r="AE8">
        <v>2378</v>
      </c>
      <c r="AG8">
        <v>1067</v>
      </c>
      <c r="AH8">
        <v>280</v>
      </c>
      <c r="AI8">
        <v>18017</v>
      </c>
      <c r="AK8">
        <v>2</v>
      </c>
      <c r="AM8">
        <v>0</v>
      </c>
      <c r="AN8">
        <v>63</v>
      </c>
      <c r="AO8">
        <v>21</v>
      </c>
      <c r="AP8" t="s">
        <v>4</v>
      </c>
    </row>
    <row r="9" spans="1:42" x14ac:dyDescent="0.3">
      <c r="A9" t="s">
        <v>13</v>
      </c>
      <c r="B9">
        <v>15</v>
      </c>
      <c r="C9">
        <v>16</v>
      </c>
      <c r="D9">
        <v>52</v>
      </c>
      <c r="E9">
        <v>77</v>
      </c>
      <c r="F9">
        <v>6</v>
      </c>
      <c r="G9">
        <v>478</v>
      </c>
      <c r="H9">
        <v>155</v>
      </c>
      <c r="I9">
        <v>5</v>
      </c>
      <c r="J9">
        <v>12</v>
      </c>
      <c r="K9">
        <v>5</v>
      </c>
      <c r="L9">
        <v>3</v>
      </c>
      <c r="M9">
        <v>43</v>
      </c>
      <c r="N9">
        <v>9</v>
      </c>
      <c r="O9">
        <v>2</v>
      </c>
      <c r="P9">
        <v>142</v>
      </c>
      <c r="Q9">
        <v>8</v>
      </c>
      <c r="R9">
        <v>54</v>
      </c>
      <c r="S9">
        <v>22</v>
      </c>
      <c r="T9">
        <v>114</v>
      </c>
      <c r="U9">
        <v>282</v>
      </c>
      <c r="V9">
        <v>864</v>
      </c>
      <c r="W9">
        <v>2</v>
      </c>
      <c r="X9">
        <v>1095</v>
      </c>
      <c r="Z9">
        <v>2</v>
      </c>
      <c r="AA9">
        <v>11</v>
      </c>
      <c r="AB9">
        <v>6</v>
      </c>
      <c r="AC9">
        <v>14033</v>
      </c>
      <c r="AE9">
        <v>2544</v>
      </c>
      <c r="AG9">
        <v>911</v>
      </c>
      <c r="AH9">
        <v>205</v>
      </c>
      <c r="AI9">
        <v>20812</v>
      </c>
      <c r="AK9">
        <v>8</v>
      </c>
      <c r="AM9">
        <v>5</v>
      </c>
      <c r="AN9">
        <v>56</v>
      </c>
      <c r="AO9">
        <v>25</v>
      </c>
      <c r="AP9" t="s">
        <v>4</v>
      </c>
    </row>
    <row r="10" spans="1:42" x14ac:dyDescent="0.3">
      <c r="A10" t="s">
        <v>7</v>
      </c>
      <c r="B10">
        <v>15</v>
      </c>
      <c r="C10">
        <v>10</v>
      </c>
      <c r="D10">
        <v>52</v>
      </c>
      <c r="E10">
        <v>65</v>
      </c>
      <c r="F10">
        <v>2</v>
      </c>
      <c r="G10">
        <v>465</v>
      </c>
      <c r="H10">
        <v>153</v>
      </c>
      <c r="I10">
        <v>9</v>
      </c>
      <c r="J10">
        <v>9</v>
      </c>
      <c r="K10">
        <v>8</v>
      </c>
      <c r="L10">
        <v>2</v>
      </c>
      <c r="M10">
        <v>44</v>
      </c>
      <c r="N10">
        <v>8</v>
      </c>
      <c r="O10">
        <v>3</v>
      </c>
      <c r="P10">
        <v>81</v>
      </c>
      <c r="Q10">
        <v>14</v>
      </c>
      <c r="R10">
        <v>36</v>
      </c>
      <c r="S10">
        <v>5</v>
      </c>
      <c r="T10">
        <v>120</v>
      </c>
      <c r="U10">
        <v>303</v>
      </c>
      <c r="V10">
        <v>860</v>
      </c>
      <c r="W10">
        <v>1</v>
      </c>
      <c r="X10">
        <v>1386</v>
      </c>
      <c r="Z10">
        <v>3</v>
      </c>
      <c r="AA10">
        <v>4</v>
      </c>
      <c r="AB10">
        <v>2</v>
      </c>
      <c r="AC10">
        <v>12274</v>
      </c>
      <c r="AE10">
        <v>2288</v>
      </c>
      <c r="AG10">
        <v>867</v>
      </c>
      <c r="AH10">
        <v>208</v>
      </c>
      <c r="AI10">
        <v>19250</v>
      </c>
      <c r="AK10">
        <v>2</v>
      </c>
      <c r="AM10">
        <v>1</v>
      </c>
      <c r="AN10">
        <v>83</v>
      </c>
      <c r="AO10">
        <v>15</v>
      </c>
      <c r="AP10" t="s">
        <v>4</v>
      </c>
    </row>
    <row r="11" spans="1:42" x14ac:dyDescent="0.3">
      <c r="A11" t="s">
        <v>12</v>
      </c>
      <c r="B11">
        <v>14</v>
      </c>
      <c r="C11">
        <v>12</v>
      </c>
      <c r="D11">
        <v>45</v>
      </c>
      <c r="E11">
        <v>48</v>
      </c>
      <c r="F11">
        <v>1</v>
      </c>
      <c r="G11">
        <v>525</v>
      </c>
      <c r="H11">
        <v>186</v>
      </c>
      <c r="I11">
        <v>9</v>
      </c>
      <c r="J11">
        <v>13</v>
      </c>
      <c r="K11">
        <v>2</v>
      </c>
      <c r="L11">
        <v>0</v>
      </c>
      <c r="M11">
        <v>32</v>
      </c>
      <c r="N11">
        <v>13</v>
      </c>
      <c r="O11">
        <v>2</v>
      </c>
      <c r="P11">
        <v>141</v>
      </c>
      <c r="Q11">
        <v>12</v>
      </c>
      <c r="R11">
        <v>42</v>
      </c>
      <c r="S11">
        <v>14</v>
      </c>
      <c r="T11">
        <v>96</v>
      </c>
      <c r="U11">
        <v>220</v>
      </c>
      <c r="V11">
        <v>948</v>
      </c>
      <c r="W11">
        <v>1</v>
      </c>
      <c r="X11">
        <v>1164</v>
      </c>
      <c r="Z11">
        <v>0</v>
      </c>
      <c r="AA11">
        <v>8</v>
      </c>
      <c r="AB11">
        <v>6</v>
      </c>
      <c r="AC11">
        <v>12616</v>
      </c>
      <c r="AE11">
        <v>2276</v>
      </c>
      <c r="AG11">
        <v>783</v>
      </c>
      <c r="AH11">
        <v>247</v>
      </c>
      <c r="AI11">
        <v>19377</v>
      </c>
      <c r="AK11">
        <v>4</v>
      </c>
      <c r="AM11">
        <v>2</v>
      </c>
      <c r="AN11">
        <v>79</v>
      </c>
      <c r="AO11">
        <v>30</v>
      </c>
      <c r="AP11" t="s">
        <v>4</v>
      </c>
    </row>
    <row r="12" spans="1:42" x14ac:dyDescent="0.3">
      <c r="A12" t="s">
        <v>17</v>
      </c>
      <c r="B12">
        <v>12</v>
      </c>
      <c r="C12">
        <v>16</v>
      </c>
      <c r="D12">
        <v>44</v>
      </c>
      <c r="E12">
        <v>64</v>
      </c>
      <c r="F12">
        <v>2</v>
      </c>
      <c r="G12">
        <v>454</v>
      </c>
      <c r="H12">
        <v>144</v>
      </c>
      <c r="I12">
        <v>7</v>
      </c>
      <c r="J12">
        <v>7</v>
      </c>
      <c r="K12">
        <v>4</v>
      </c>
      <c r="L12">
        <v>1</v>
      </c>
      <c r="M12">
        <v>37</v>
      </c>
      <c r="N12">
        <v>7</v>
      </c>
      <c r="O12">
        <v>3</v>
      </c>
      <c r="P12">
        <v>89</v>
      </c>
      <c r="Q12">
        <v>9</v>
      </c>
      <c r="R12">
        <v>49</v>
      </c>
      <c r="S12">
        <v>18</v>
      </c>
      <c r="T12">
        <v>119</v>
      </c>
      <c r="U12">
        <v>238</v>
      </c>
      <c r="V12">
        <v>841</v>
      </c>
      <c r="W12">
        <v>1</v>
      </c>
      <c r="X12">
        <v>1243</v>
      </c>
      <c r="Z12">
        <v>1</v>
      </c>
      <c r="AA12">
        <v>7</v>
      </c>
      <c r="AB12">
        <v>7</v>
      </c>
      <c r="AC12">
        <v>12779</v>
      </c>
      <c r="AE12">
        <v>2403</v>
      </c>
      <c r="AG12">
        <v>769</v>
      </c>
      <c r="AH12">
        <v>187</v>
      </c>
      <c r="AI12">
        <v>19199</v>
      </c>
      <c r="AK12">
        <v>5</v>
      </c>
      <c r="AM12">
        <v>0</v>
      </c>
      <c r="AN12">
        <v>78</v>
      </c>
      <c r="AO12">
        <v>37</v>
      </c>
      <c r="AP12" t="s">
        <v>4</v>
      </c>
    </row>
    <row r="13" spans="1:42" x14ac:dyDescent="0.3">
      <c r="A13" t="s">
        <v>18</v>
      </c>
      <c r="B13">
        <v>12</v>
      </c>
      <c r="C13">
        <v>21</v>
      </c>
      <c r="D13">
        <v>35</v>
      </c>
      <c r="E13">
        <v>85</v>
      </c>
      <c r="F13">
        <v>2</v>
      </c>
      <c r="G13">
        <v>461</v>
      </c>
      <c r="H13">
        <v>134</v>
      </c>
      <c r="I13">
        <v>8</v>
      </c>
      <c r="J13">
        <v>3</v>
      </c>
      <c r="K13">
        <v>1</v>
      </c>
      <c r="L13">
        <v>2</v>
      </c>
      <c r="M13">
        <v>27</v>
      </c>
      <c r="N13">
        <v>8</v>
      </c>
      <c r="O13">
        <v>3</v>
      </c>
      <c r="P13">
        <v>92</v>
      </c>
      <c r="Q13">
        <v>9</v>
      </c>
      <c r="R13">
        <v>59</v>
      </c>
      <c r="S13">
        <v>4</v>
      </c>
      <c r="T13">
        <v>132</v>
      </c>
      <c r="U13">
        <v>233</v>
      </c>
      <c r="V13">
        <v>860</v>
      </c>
      <c r="W13">
        <v>1</v>
      </c>
      <c r="X13">
        <v>1232</v>
      </c>
      <c r="Z13">
        <v>2</v>
      </c>
      <c r="AA13">
        <v>4</v>
      </c>
      <c r="AB13">
        <v>4</v>
      </c>
      <c r="AC13">
        <v>13178</v>
      </c>
      <c r="AE13">
        <v>2403</v>
      </c>
      <c r="AG13">
        <v>849</v>
      </c>
      <c r="AH13">
        <v>196</v>
      </c>
      <c r="AI13">
        <v>20040</v>
      </c>
      <c r="AK13">
        <v>5</v>
      </c>
      <c r="AM13">
        <v>0</v>
      </c>
      <c r="AN13">
        <v>64</v>
      </c>
      <c r="AO13">
        <v>25</v>
      </c>
      <c r="AP13" t="s">
        <v>4</v>
      </c>
    </row>
    <row r="14" spans="1:42" x14ac:dyDescent="0.3">
      <c r="A14" t="s">
        <v>6</v>
      </c>
      <c r="B14">
        <v>11</v>
      </c>
      <c r="C14">
        <v>10</v>
      </c>
      <c r="D14">
        <v>43</v>
      </c>
      <c r="E14">
        <v>48</v>
      </c>
      <c r="F14">
        <v>1</v>
      </c>
      <c r="G14">
        <v>470</v>
      </c>
      <c r="H14">
        <v>154</v>
      </c>
      <c r="I14">
        <v>9</v>
      </c>
      <c r="J14">
        <v>5</v>
      </c>
      <c r="K14">
        <v>6</v>
      </c>
      <c r="L14">
        <v>1</v>
      </c>
      <c r="M14">
        <v>34</v>
      </c>
      <c r="N14">
        <v>9</v>
      </c>
      <c r="O14">
        <v>6</v>
      </c>
      <c r="P14">
        <v>147</v>
      </c>
      <c r="Q14">
        <v>13</v>
      </c>
      <c r="R14">
        <v>41</v>
      </c>
      <c r="S14">
        <v>1</v>
      </c>
      <c r="T14">
        <v>115</v>
      </c>
      <c r="U14">
        <v>221</v>
      </c>
      <c r="V14">
        <v>936</v>
      </c>
      <c r="W14">
        <v>0</v>
      </c>
      <c r="X14">
        <v>1212</v>
      </c>
      <c r="Z14">
        <v>1</v>
      </c>
      <c r="AA14">
        <v>4</v>
      </c>
      <c r="AB14">
        <v>3</v>
      </c>
      <c r="AC14">
        <v>13254</v>
      </c>
      <c r="AE14">
        <v>2152</v>
      </c>
      <c r="AG14">
        <v>886</v>
      </c>
      <c r="AH14">
        <v>213</v>
      </c>
      <c r="AI14">
        <v>20002</v>
      </c>
      <c r="AK14">
        <v>5</v>
      </c>
      <c r="AM14">
        <v>0</v>
      </c>
      <c r="AN14">
        <v>57</v>
      </c>
      <c r="AO14">
        <v>26</v>
      </c>
      <c r="AP14" t="s">
        <v>4</v>
      </c>
    </row>
    <row r="15" spans="1:42" x14ac:dyDescent="0.3">
      <c r="A15" t="s">
        <v>26</v>
      </c>
      <c r="B15">
        <v>11</v>
      </c>
      <c r="C15">
        <v>18</v>
      </c>
      <c r="D15">
        <v>29</v>
      </c>
      <c r="E15">
        <v>59</v>
      </c>
      <c r="F15">
        <v>4</v>
      </c>
      <c r="G15">
        <v>454</v>
      </c>
      <c r="H15">
        <v>147</v>
      </c>
      <c r="I15">
        <v>5</v>
      </c>
      <c r="J15">
        <v>3</v>
      </c>
      <c r="K15">
        <v>2</v>
      </c>
      <c r="L15">
        <v>0</v>
      </c>
      <c r="M15">
        <v>23</v>
      </c>
      <c r="N15">
        <v>6</v>
      </c>
      <c r="O15">
        <v>5</v>
      </c>
      <c r="P15">
        <v>142</v>
      </c>
      <c r="Q15">
        <v>14</v>
      </c>
      <c r="R15">
        <v>44</v>
      </c>
      <c r="S15">
        <v>0</v>
      </c>
      <c r="T15">
        <v>110</v>
      </c>
      <c r="U15">
        <v>234</v>
      </c>
      <c r="V15">
        <v>986</v>
      </c>
      <c r="W15">
        <v>1</v>
      </c>
      <c r="X15">
        <v>1213</v>
      </c>
      <c r="Z15">
        <v>2</v>
      </c>
      <c r="AA15">
        <v>3</v>
      </c>
      <c r="AB15">
        <v>2</v>
      </c>
      <c r="AC15">
        <v>12765</v>
      </c>
      <c r="AE15">
        <v>2059</v>
      </c>
      <c r="AG15">
        <v>811</v>
      </c>
      <c r="AH15">
        <v>198</v>
      </c>
      <c r="AI15">
        <v>19378</v>
      </c>
      <c r="AK15">
        <v>4</v>
      </c>
      <c r="AM15">
        <v>1</v>
      </c>
      <c r="AN15">
        <v>64</v>
      </c>
      <c r="AO15">
        <v>17</v>
      </c>
      <c r="AP15" t="s">
        <v>4</v>
      </c>
    </row>
    <row r="16" spans="1:42" x14ac:dyDescent="0.3">
      <c r="A16" t="s">
        <v>10</v>
      </c>
      <c r="B16">
        <v>11</v>
      </c>
      <c r="C16">
        <v>17</v>
      </c>
      <c r="D16">
        <v>38</v>
      </c>
      <c r="E16">
        <v>65</v>
      </c>
      <c r="F16">
        <v>1</v>
      </c>
      <c r="G16">
        <v>454</v>
      </c>
      <c r="H16">
        <v>140</v>
      </c>
      <c r="I16">
        <v>11</v>
      </c>
      <c r="J16">
        <v>8</v>
      </c>
      <c r="K16">
        <v>5</v>
      </c>
      <c r="L16">
        <v>0</v>
      </c>
      <c r="M16">
        <v>30</v>
      </c>
      <c r="N16">
        <v>8</v>
      </c>
      <c r="O16">
        <v>6</v>
      </c>
      <c r="P16">
        <v>102</v>
      </c>
      <c r="Q16">
        <v>7</v>
      </c>
      <c r="R16">
        <v>47</v>
      </c>
      <c r="S16">
        <v>5</v>
      </c>
      <c r="T16">
        <v>141</v>
      </c>
      <c r="U16">
        <v>361</v>
      </c>
      <c r="V16">
        <v>965</v>
      </c>
      <c r="W16">
        <v>0</v>
      </c>
      <c r="X16">
        <v>1004</v>
      </c>
      <c r="Z16">
        <v>2</v>
      </c>
      <c r="AA16">
        <v>2</v>
      </c>
      <c r="AB16">
        <v>2</v>
      </c>
      <c r="AC16">
        <v>14628</v>
      </c>
      <c r="AE16">
        <v>2649</v>
      </c>
      <c r="AG16">
        <v>793</v>
      </c>
      <c r="AH16">
        <v>195</v>
      </c>
      <c r="AI16">
        <v>21213</v>
      </c>
      <c r="AK16">
        <v>9</v>
      </c>
      <c r="AM16">
        <v>0</v>
      </c>
      <c r="AN16">
        <v>48</v>
      </c>
      <c r="AO16">
        <v>26</v>
      </c>
      <c r="AP16" t="s">
        <v>4</v>
      </c>
    </row>
    <row r="17" spans="1:42" x14ac:dyDescent="0.3">
      <c r="A17" t="s">
        <v>1</v>
      </c>
      <c r="B17">
        <v>10</v>
      </c>
      <c r="C17">
        <v>20</v>
      </c>
      <c r="D17">
        <v>32</v>
      </c>
      <c r="E17">
        <v>68</v>
      </c>
      <c r="F17">
        <v>2</v>
      </c>
      <c r="G17">
        <v>483</v>
      </c>
      <c r="H17">
        <v>147</v>
      </c>
      <c r="I17">
        <v>14</v>
      </c>
      <c r="J17">
        <v>10</v>
      </c>
      <c r="K17">
        <v>2</v>
      </c>
      <c r="L17">
        <v>2</v>
      </c>
      <c r="M17">
        <v>25</v>
      </c>
      <c r="N17">
        <v>7</v>
      </c>
      <c r="O17">
        <v>2</v>
      </c>
      <c r="P17">
        <v>82</v>
      </c>
      <c r="Q17">
        <v>9</v>
      </c>
      <c r="R17">
        <v>55</v>
      </c>
      <c r="S17">
        <v>3</v>
      </c>
      <c r="T17">
        <v>122</v>
      </c>
      <c r="U17">
        <v>203</v>
      </c>
      <c r="V17">
        <v>917</v>
      </c>
      <c r="W17">
        <v>2</v>
      </c>
      <c r="X17">
        <v>1217</v>
      </c>
      <c r="Z17">
        <v>2</v>
      </c>
      <c r="AA17">
        <v>8</v>
      </c>
      <c r="AB17">
        <v>7</v>
      </c>
      <c r="AC17">
        <v>11123</v>
      </c>
      <c r="AE17">
        <v>2248</v>
      </c>
      <c r="AG17">
        <v>800</v>
      </c>
      <c r="AH17">
        <v>178</v>
      </c>
      <c r="AI17">
        <v>17713</v>
      </c>
      <c r="AK17">
        <v>8</v>
      </c>
      <c r="AM17">
        <v>1</v>
      </c>
      <c r="AN17">
        <v>43</v>
      </c>
      <c r="AO17">
        <v>21</v>
      </c>
      <c r="AP17" t="s">
        <v>4</v>
      </c>
    </row>
    <row r="18" spans="1:42" x14ac:dyDescent="0.3">
      <c r="A18" t="s">
        <v>11</v>
      </c>
      <c r="B18">
        <v>10</v>
      </c>
      <c r="C18">
        <v>20</v>
      </c>
      <c r="D18">
        <v>37</v>
      </c>
      <c r="E18">
        <v>73</v>
      </c>
      <c r="F18">
        <v>3</v>
      </c>
      <c r="G18">
        <v>474</v>
      </c>
      <c r="H18">
        <v>147</v>
      </c>
      <c r="I18">
        <v>9</v>
      </c>
      <c r="J18">
        <v>6</v>
      </c>
      <c r="K18">
        <v>3</v>
      </c>
      <c r="L18">
        <v>1</v>
      </c>
      <c r="M18">
        <v>31</v>
      </c>
      <c r="N18">
        <v>6</v>
      </c>
      <c r="O18">
        <v>2</v>
      </c>
      <c r="P18">
        <v>84</v>
      </c>
      <c r="Q18">
        <v>10</v>
      </c>
      <c r="R18">
        <v>59</v>
      </c>
      <c r="S18">
        <v>13</v>
      </c>
      <c r="T18">
        <v>91</v>
      </c>
      <c r="U18">
        <v>204</v>
      </c>
      <c r="V18">
        <v>809</v>
      </c>
      <c r="W18">
        <v>0</v>
      </c>
      <c r="X18">
        <v>1206</v>
      </c>
      <c r="Z18">
        <v>5</v>
      </c>
      <c r="AA18">
        <v>7</v>
      </c>
      <c r="AB18">
        <v>5</v>
      </c>
      <c r="AC18">
        <v>11353</v>
      </c>
      <c r="AE18">
        <v>2418</v>
      </c>
      <c r="AG18">
        <v>813</v>
      </c>
      <c r="AH18">
        <v>177</v>
      </c>
      <c r="AI18">
        <v>17564</v>
      </c>
      <c r="AK18">
        <v>4</v>
      </c>
      <c r="AM18">
        <v>2</v>
      </c>
      <c r="AN18">
        <v>61</v>
      </c>
      <c r="AO18">
        <v>29</v>
      </c>
      <c r="AP18" t="s">
        <v>4</v>
      </c>
    </row>
    <row r="19" spans="1:42" x14ac:dyDescent="0.3">
      <c r="A19" t="s">
        <v>19</v>
      </c>
      <c r="B19">
        <v>8</v>
      </c>
      <c r="C19">
        <v>20</v>
      </c>
      <c r="D19">
        <v>34</v>
      </c>
      <c r="E19">
        <v>56</v>
      </c>
      <c r="F19">
        <v>4</v>
      </c>
      <c r="G19">
        <v>418</v>
      </c>
      <c r="H19">
        <v>133</v>
      </c>
      <c r="I19">
        <v>11</v>
      </c>
      <c r="J19">
        <v>6</v>
      </c>
      <c r="K19">
        <v>4</v>
      </c>
      <c r="L19">
        <v>1</v>
      </c>
      <c r="M19">
        <v>27</v>
      </c>
      <c r="N19">
        <v>7</v>
      </c>
      <c r="O19">
        <v>2</v>
      </c>
      <c r="P19">
        <v>96</v>
      </c>
      <c r="Q19">
        <v>11</v>
      </c>
      <c r="R19">
        <v>60</v>
      </c>
      <c r="S19">
        <v>5</v>
      </c>
      <c r="T19">
        <v>138</v>
      </c>
      <c r="U19">
        <v>340</v>
      </c>
      <c r="V19">
        <v>919</v>
      </c>
      <c r="W19">
        <v>0</v>
      </c>
      <c r="X19">
        <v>1483</v>
      </c>
      <c r="Z19">
        <v>2</v>
      </c>
      <c r="AA19">
        <v>7</v>
      </c>
      <c r="AB19">
        <v>5</v>
      </c>
      <c r="AC19">
        <v>12722</v>
      </c>
      <c r="AE19">
        <v>2466</v>
      </c>
      <c r="AG19">
        <v>750</v>
      </c>
      <c r="AH19">
        <v>178</v>
      </c>
      <c r="AI19">
        <v>19497</v>
      </c>
      <c r="AK19">
        <v>7</v>
      </c>
      <c r="AM19">
        <v>2</v>
      </c>
      <c r="AN19">
        <v>50</v>
      </c>
      <c r="AO19">
        <v>13</v>
      </c>
      <c r="AP19" t="s">
        <v>4</v>
      </c>
    </row>
    <row r="20" spans="1:42" x14ac:dyDescent="0.3">
      <c r="A20" t="s">
        <v>23</v>
      </c>
      <c r="B20">
        <v>8</v>
      </c>
      <c r="C20">
        <v>15</v>
      </c>
      <c r="D20">
        <v>38</v>
      </c>
      <c r="E20">
        <v>56</v>
      </c>
      <c r="F20">
        <v>3</v>
      </c>
      <c r="G20">
        <v>451</v>
      </c>
      <c r="H20">
        <v>142</v>
      </c>
      <c r="I20">
        <v>8</v>
      </c>
      <c r="J20">
        <v>8</v>
      </c>
      <c r="K20">
        <v>3</v>
      </c>
      <c r="L20">
        <v>1</v>
      </c>
      <c r="M20">
        <v>30</v>
      </c>
      <c r="N20">
        <v>8</v>
      </c>
      <c r="O20">
        <v>0</v>
      </c>
      <c r="P20">
        <v>94</v>
      </c>
      <c r="Q20">
        <v>7</v>
      </c>
      <c r="R20">
        <v>60</v>
      </c>
      <c r="S20">
        <v>12</v>
      </c>
      <c r="T20">
        <v>98</v>
      </c>
      <c r="U20">
        <v>198</v>
      </c>
      <c r="V20">
        <v>901</v>
      </c>
      <c r="W20">
        <v>0</v>
      </c>
      <c r="X20">
        <v>1386</v>
      </c>
      <c r="Z20">
        <v>2</v>
      </c>
      <c r="AA20">
        <v>8</v>
      </c>
      <c r="AB20">
        <v>6</v>
      </c>
      <c r="AC20">
        <v>11820</v>
      </c>
      <c r="AE20">
        <v>2214</v>
      </c>
      <c r="AG20">
        <v>895</v>
      </c>
      <c r="AH20">
        <v>173</v>
      </c>
      <c r="AI20">
        <v>18720</v>
      </c>
      <c r="AK20">
        <v>6</v>
      </c>
      <c r="AM20">
        <v>1</v>
      </c>
      <c r="AN20">
        <v>45</v>
      </c>
      <c r="AO20">
        <v>22</v>
      </c>
      <c r="AP20" t="s">
        <v>4</v>
      </c>
    </row>
    <row r="21" spans="1:42" x14ac:dyDescent="0.3">
      <c r="A21" t="s">
        <v>8</v>
      </c>
      <c r="B21">
        <v>5</v>
      </c>
      <c r="C21">
        <v>20</v>
      </c>
      <c r="D21">
        <v>29</v>
      </c>
      <c r="E21">
        <v>45</v>
      </c>
      <c r="F21">
        <v>2</v>
      </c>
      <c r="G21">
        <v>418</v>
      </c>
      <c r="H21">
        <v>135</v>
      </c>
      <c r="I21">
        <v>10</v>
      </c>
      <c r="J21">
        <v>4</v>
      </c>
      <c r="K21">
        <v>3</v>
      </c>
      <c r="L21">
        <v>0</v>
      </c>
      <c r="M21">
        <v>24</v>
      </c>
      <c r="N21">
        <v>5</v>
      </c>
      <c r="O21">
        <v>0</v>
      </c>
      <c r="P21">
        <v>122</v>
      </c>
      <c r="Q21">
        <v>9</v>
      </c>
      <c r="R21">
        <v>59</v>
      </c>
      <c r="S21">
        <v>17</v>
      </c>
      <c r="T21">
        <v>117</v>
      </c>
      <c r="U21">
        <v>221</v>
      </c>
      <c r="V21">
        <v>744</v>
      </c>
      <c r="W21">
        <v>1</v>
      </c>
      <c r="X21">
        <v>1179</v>
      </c>
      <c r="Z21">
        <v>5</v>
      </c>
      <c r="AA21">
        <v>6</v>
      </c>
      <c r="AB21">
        <v>5</v>
      </c>
      <c r="AC21">
        <v>10175</v>
      </c>
      <c r="AE21">
        <v>2263</v>
      </c>
      <c r="AG21">
        <v>983</v>
      </c>
      <c r="AH21">
        <v>212</v>
      </c>
      <c r="AI21">
        <v>16772</v>
      </c>
      <c r="AK21">
        <v>3</v>
      </c>
      <c r="AM21">
        <v>0</v>
      </c>
      <c r="AN21">
        <v>63</v>
      </c>
      <c r="AO21">
        <v>15</v>
      </c>
      <c r="AP21" t="s">
        <v>4</v>
      </c>
    </row>
    <row r="22" spans="1:42" x14ac:dyDescent="0.3">
      <c r="A22" t="s">
        <v>22</v>
      </c>
      <c r="B22">
        <v>27</v>
      </c>
      <c r="C22">
        <v>5</v>
      </c>
      <c r="D22">
        <v>80</v>
      </c>
      <c r="E22">
        <v>51</v>
      </c>
      <c r="F22">
        <v>2</v>
      </c>
      <c r="G22">
        <v>696</v>
      </c>
      <c r="H22">
        <v>260</v>
      </c>
      <c r="I22">
        <v>16</v>
      </c>
      <c r="J22">
        <v>12</v>
      </c>
      <c r="K22">
        <v>6</v>
      </c>
      <c r="L22">
        <v>6</v>
      </c>
      <c r="M22">
        <v>64</v>
      </c>
      <c r="N22">
        <v>16</v>
      </c>
      <c r="O22">
        <v>7</v>
      </c>
      <c r="P22">
        <v>100</v>
      </c>
      <c r="Q22">
        <v>21</v>
      </c>
      <c r="R22">
        <v>22</v>
      </c>
      <c r="S22">
        <v>2</v>
      </c>
      <c r="T22">
        <v>96</v>
      </c>
      <c r="U22">
        <v>446</v>
      </c>
      <c r="V22">
        <v>978</v>
      </c>
      <c r="W22">
        <v>2</v>
      </c>
      <c r="X22">
        <v>2022</v>
      </c>
      <c r="Y22">
        <v>1140</v>
      </c>
      <c r="Z22">
        <v>0</v>
      </c>
      <c r="AA22">
        <v>1</v>
      </c>
      <c r="AB22">
        <v>1</v>
      </c>
      <c r="AC22">
        <v>17422</v>
      </c>
      <c r="AD22">
        <v>90</v>
      </c>
      <c r="AE22">
        <v>2417</v>
      </c>
      <c r="AG22">
        <v>936</v>
      </c>
      <c r="AH22">
        <v>261</v>
      </c>
      <c r="AI22">
        <v>26620</v>
      </c>
      <c r="AK22">
        <v>10</v>
      </c>
      <c r="AL22">
        <v>627</v>
      </c>
      <c r="AM22">
        <v>0</v>
      </c>
      <c r="AN22">
        <v>47</v>
      </c>
      <c r="AO22">
        <v>23</v>
      </c>
      <c r="AP22" t="s">
        <v>30</v>
      </c>
    </row>
    <row r="23" spans="1:42" x14ac:dyDescent="0.3">
      <c r="A23" t="s">
        <v>25</v>
      </c>
      <c r="B23">
        <v>25</v>
      </c>
      <c r="C23">
        <v>3</v>
      </c>
      <c r="D23">
        <v>65</v>
      </c>
      <c r="E23">
        <v>63</v>
      </c>
      <c r="F23">
        <v>5</v>
      </c>
      <c r="G23">
        <v>605</v>
      </c>
      <c r="H23">
        <v>199</v>
      </c>
      <c r="I23">
        <v>12</v>
      </c>
      <c r="J23">
        <v>10</v>
      </c>
      <c r="K23">
        <v>7</v>
      </c>
      <c r="L23">
        <v>1</v>
      </c>
      <c r="M23">
        <v>52</v>
      </c>
      <c r="N23">
        <v>13</v>
      </c>
      <c r="O23">
        <v>3</v>
      </c>
      <c r="P23">
        <v>128</v>
      </c>
      <c r="Q23">
        <v>21</v>
      </c>
      <c r="R23">
        <v>26</v>
      </c>
      <c r="S23">
        <v>4</v>
      </c>
      <c r="T23">
        <v>101</v>
      </c>
      <c r="U23">
        <v>506</v>
      </c>
      <c r="V23">
        <v>917</v>
      </c>
      <c r="W23">
        <v>4</v>
      </c>
      <c r="X23">
        <v>1687</v>
      </c>
      <c r="Y23">
        <v>851</v>
      </c>
      <c r="Z23">
        <v>0</v>
      </c>
      <c r="AA23">
        <v>3</v>
      </c>
      <c r="AB23">
        <v>3</v>
      </c>
      <c r="AC23">
        <v>17252</v>
      </c>
      <c r="AD23">
        <v>91</v>
      </c>
      <c r="AE23">
        <v>2154</v>
      </c>
      <c r="AG23">
        <v>945</v>
      </c>
      <c r="AH23">
        <v>253</v>
      </c>
      <c r="AI23">
        <v>26290</v>
      </c>
      <c r="AK23">
        <v>8</v>
      </c>
      <c r="AL23">
        <v>687</v>
      </c>
      <c r="AM23">
        <v>0</v>
      </c>
      <c r="AN23">
        <v>62</v>
      </c>
      <c r="AO23">
        <v>19</v>
      </c>
      <c r="AP23" t="s">
        <v>30</v>
      </c>
    </row>
    <row r="24" spans="1:42" x14ac:dyDescent="0.3">
      <c r="A24" t="s">
        <v>5</v>
      </c>
      <c r="B24">
        <v>24</v>
      </c>
      <c r="C24">
        <v>3</v>
      </c>
      <c r="D24">
        <v>74</v>
      </c>
      <c r="E24">
        <v>55</v>
      </c>
      <c r="F24">
        <v>3</v>
      </c>
      <c r="G24">
        <v>627</v>
      </c>
      <c r="H24">
        <v>208</v>
      </c>
      <c r="I24">
        <v>13</v>
      </c>
      <c r="J24">
        <v>14</v>
      </c>
      <c r="K24">
        <v>5</v>
      </c>
      <c r="L24">
        <v>1</v>
      </c>
      <c r="M24">
        <v>65</v>
      </c>
      <c r="N24">
        <v>9</v>
      </c>
      <c r="O24">
        <v>7</v>
      </c>
      <c r="P24">
        <v>110</v>
      </c>
      <c r="Q24">
        <v>15</v>
      </c>
      <c r="R24">
        <v>31</v>
      </c>
      <c r="S24">
        <v>0</v>
      </c>
      <c r="T24">
        <v>91</v>
      </c>
      <c r="U24">
        <v>505</v>
      </c>
      <c r="V24">
        <v>878</v>
      </c>
      <c r="W24">
        <v>1</v>
      </c>
      <c r="X24">
        <v>1840</v>
      </c>
      <c r="Y24">
        <v>926</v>
      </c>
      <c r="Z24">
        <v>2</v>
      </c>
      <c r="AA24">
        <v>4</v>
      </c>
      <c r="AB24">
        <v>3</v>
      </c>
      <c r="AC24">
        <v>18831</v>
      </c>
      <c r="AD24">
        <v>92</v>
      </c>
      <c r="AE24">
        <v>1946</v>
      </c>
      <c r="AG24">
        <v>888</v>
      </c>
      <c r="AH24">
        <v>234</v>
      </c>
      <c r="AI24">
        <v>28156</v>
      </c>
      <c r="AK24">
        <v>2</v>
      </c>
      <c r="AL24">
        <v>776</v>
      </c>
      <c r="AM24">
        <v>1</v>
      </c>
      <c r="AN24">
        <v>45</v>
      </c>
      <c r="AO24">
        <v>26</v>
      </c>
      <c r="AP24" t="s">
        <v>30</v>
      </c>
    </row>
    <row r="25" spans="1:42" x14ac:dyDescent="0.3">
      <c r="A25" t="s">
        <v>2</v>
      </c>
      <c r="B25">
        <v>21</v>
      </c>
      <c r="C25">
        <v>4</v>
      </c>
      <c r="D25">
        <v>67</v>
      </c>
      <c r="E25">
        <v>45</v>
      </c>
      <c r="F25">
        <v>1</v>
      </c>
      <c r="G25">
        <v>686</v>
      </c>
      <c r="H25">
        <v>214</v>
      </c>
      <c r="I25">
        <v>13</v>
      </c>
      <c r="J25">
        <v>7</v>
      </c>
      <c r="K25">
        <v>5</v>
      </c>
      <c r="L25">
        <v>2</v>
      </c>
      <c r="M25">
        <v>51</v>
      </c>
      <c r="N25">
        <v>16</v>
      </c>
      <c r="O25">
        <v>7</v>
      </c>
      <c r="P25">
        <v>93</v>
      </c>
      <c r="Q25">
        <v>18</v>
      </c>
      <c r="R25">
        <v>28</v>
      </c>
      <c r="S25">
        <v>0</v>
      </c>
      <c r="T25">
        <v>83</v>
      </c>
      <c r="U25">
        <v>614</v>
      </c>
      <c r="V25">
        <v>1089</v>
      </c>
      <c r="W25">
        <v>2</v>
      </c>
      <c r="X25">
        <v>1952</v>
      </c>
      <c r="Y25">
        <v>1060</v>
      </c>
      <c r="Z25">
        <v>2</v>
      </c>
      <c r="AA25">
        <v>5</v>
      </c>
      <c r="AB25">
        <v>4</v>
      </c>
      <c r="AC25">
        <v>16360</v>
      </c>
      <c r="AD25">
        <v>57</v>
      </c>
      <c r="AE25">
        <v>2761</v>
      </c>
      <c r="AG25">
        <v>932</v>
      </c>
      <c r="AH25">
        <v>237</v>
      </c>
      <c r="AI25">
        <v>25857</v>
      </c>
      <c r="AK25">
        <v>4</v>
      </c>
      <c r="AL25">
        <v>613</v>
      </c>
      <c r="AM25">
        <v>1</v>
      </c>
      <c r="AN25">
        <v>42</v>
      </c>
      <c r="AO25">
        <v>22</v>
      </c>
      <c r="AP25" t="s">
        <v>30</v>
      </c>
    </row>
    <row r="26" spans="1:42" x14ac:dyDescent="0.3">
      <c r="A26" t="s">
        <v>7</v>
      </c>
      <c r="B26">
        <v>19</v>
      </c>
      <c r="C26">
        <v>11</v>
      </c>
      <c r="D26">
        <v>55</v>
      </c>
      <c r="E26">
        <v>40</v>
      </c>
      <c r="F26">
        <v>3</v>
      </c>
      <c r="G26">
        <v>474</v>
      </c>
      <c r="H26">
        <v>169</v>
      </c>
      <c r="I26">
        <v>4</v>
      </c>
      <c r="J26">
        <v>13</v>
      </c>
      <c r="K26">
        <v>1</v>
      </c>
      <c r="L26">
        <v>1</v>
      </c>
      <c r="M26">
        <v>48</v>
      </c>
      <c r="N26">
        <v>7</v>
      </c>
      <c r="O26">
        <v>7</v>
      </c>
      <c r="P26">
        <v>73</v>
      </c>
      <c r="Q26">
        <v>14</v>
      </c>
      <c r="R26">
        <v>33</v>
      </c>
      <c r="S26">
        <v>0</v>
      </c>
      <c r="T26">
        <v>133</v>
      </c>
      <c r="U26">
        <v>496</v>
      </c>
      <c r="V26">
        <v>816</v>
      </c>
      <c r="W26">
        <v>2</v>
      </c>
      <c r="X26">
        <v>2136</v>
      </c>
      <c r="Y26">
        <v>1006</v>
      </c>
      <c r="Z26">
        <v>1</v>
      </c>
      <c r="AA26">
        <v>4</v>
      </c>
      <c r="AB26">
        <v>4</v>
      </c>
      <c r="AC26">
        <v>12397</v>
      </c>
      <c r="AD26">
        <v>28</v>
      </c>
      <c r="AE26">
        <v>2142</v>
      </c>
      <c r="AG26">
        <v>877</v>
      </c>
      <c r="AH26">
        <v>198</v>
      </c>
      <c r="AI26">
        <v>21360</v>
      </c>
      <c r="AK26">
        <v>8</v>
      </c>
      <c r="AL26">
        <v>620</v>
      </c>
      <c r="AM26">
        <v>0</v>
      </c>
      <c r="AN26">
        <v>55</v>
      </c>
      <c r="AO26">
        <v>20</v>
      </c>
      <c r="AP26" t="s">
        <v>30</v>
      </c>
    </row>
    <row r="27" spans="1:42" x14ac:dyDescent="0.3">
      <c r="A27" t="s">
        <v>6</v>
      </c>
      <c r="B27">
        <v>16</v>
      </c>
      <c r="C27">
        <v>10</v>
      </c>
      <c r="D27">
        <v>71</v>
      </c>
      <c r="E27">
        <v>54</v>
      </c>
      <c r="F27">
        <v>4</v>
      </c>
      <c r="G27">
        <v>511</v>
      </c>
      <c r="H27">
        <v>182</v>
      </c>
      <c r="I27">
        <v>11</v>
      </c>
      <c r="J27">
        <v>16</v>
      </c>
      <c r="K27">
        <v>6</v>
      </c>
      <c r="L27">
        <v>5</v>
      </c>
      <c r="M27">
        <v>55</v>
      </c>
      <c r="N27">
        <v>16</v>
      </c>
      <c r="O27">
        <v>3</v>
      </c>
      <c r="P27">
        <v>115</v>
      </c>
      <c r="Q27">
        <v>9</v>
      </c>
      <c r="R27">
        <v>51</v>
      </c>
      <c r="S27">
        <v>3</v>
      </c>
      <c r="T27">
        <v>139</v>
      </c>
      <c r="U27">
        <v>461</v>
      </c>
      <c r="V27">
        <v>885</v>
      </c>
      <c r="W27">
        <v>0</v>
      </c>
      <c r="X27">
        <v>2220</v>
      </c>
      <c r="Y27">
        <v>1183</v>
      </c>
      <c r="Z27">
        <v>3</v>
      </c>
      <c r="AA27">
        <v>4</v>
      </c>
      <c r="AB27">
        <v>2</v>
      </c>
      <c r="AC27">
        <v>11438</v>
      </c>
      <c r="AD27">
        <v>30</v>
      </c>
      <c r="AE27">
        <v>1982</v>
      </c>
      <c r="AG27">
        <v>932</v>
      </c>
      <c r="AH27">
        <v>229</v>
      </c>
      <c r="AI27">
        <v>20734</v>
      </c>
      <c r="AK27">
        <v>6</v>
      </c>
      <c r="AL27">
        <v>655</v>
      </c>
      <c r="AM27">
        <v>2</v>
      </c>
      <c r="AN27">
        <v>40</v>
      </c>
      <c r="AO27">
        <v>14</v>
      </c>
      <c r="AP27" t="s">
        <v>30</v>
      </c>
    </row>
    <row r="28" spans="1:42" x14ac:dyDescent="0.3">
      <c r="A28" t="s">
        <v>12</v>
      </c>
      <c r="B28">
        <v>16</v>
      </c>
      <c r="C28">
        <v>13</v>
      </c>
      <c r="D28">
        <v>48</v>
      </c>
      <c r="E28">
        <v>55</v>
      </c>
      <c r="F28">
        <v>3</v>
      </c>
      <c r="G28">
        <v>559</v>
      </c>
      <c r="H28">
        <v>160</v>
      </c>
      <c r="I28">
        <v>9</v>
      </c>
      <c r="J28">
        <v>4</v>
      </c>
      <c r="K28">
        <v>4</v>
      </c>
      <c r="L28">
        <v>2</v>
      </c>
      <c r="M28">
        <v>35</v>
      </c>
      <c r="N28">
        <v>13</v>
      </c>
      <c r="O28">
        <v>6</v>
      </c>
      <c r="P28">
        <v>95</v>
      </c>
      <c r="Q28">
        <v>16</v>
      </c>
      <c r="R28">
        <v>40</v>
      </c>
      <c r="S28">
        <v>4</v>
      </c>
      <c r="T28">
        <v>105</v>
      </c>
      <c r="U28">
        <v>521</v>
      </c>
      <c r="V28">
        <v>963</v>
      </c>
      <c r="W28">
        <v>1</v>
      </c>
      <c r="X28">
        <v>2103</v>
      </c>
      <c r="Y28">
        <v>1029</v>
      </c>
      <c r="Z28">
        <v>3</v>
      </c>
      <c r="AA28">
        <v>4</v>
      </c>
      <c r="AB28">
        <v>2</v>
      </c>
      <c r="AC28">
        <v>12794</v>
      </c>
      <c r="AD28">
        <v>37</v>
      </c>
      <c r="AE28">
        <v>2278</v>
      </c>
      <c r="AG28">
        <v>663</v>
      </c>
      <c r="AH28">
        <v>184</v>
      </c>
      <c r="AI28">
        <v>21907</v>
      </c>
      <c r="AK28">
        <v>4</v>
      </c>
      <c r="AL28">
        <v>683</v>
      </c>
      <c r="AM28">
        <v>2</v>
      </c>
      <c r="AN28">
        <v>77</v>
      </c>
      <c r="AO28">
        <v>28</v>
      </c>
      <c r="AP28" t="s">
        <v>30</v>
      </c>
    </row>
    <row r="29" spans="1:42" x14ac:dyDescent="0.3">
      <c r="A29" t="s">
        <v>13</v>
      </c>
      <c r="B29">
        <v>15</v>
      </c>
      <c r="C29">
        <v>10</v>
      </c>
      <c r="D29">
        <v>50</v>
      </c>
      <c r="E29">
        <v>72</v>
      </c>
      <c r="F29">
        <v>6</v>
      </c>
      <c r="G29">
        <v>530</v>
      </c>
      <c r="H29">
        <v>185</v>
      </c>
      <c r="I29">
        <v>14</v>
      </c>
      <c r="J29">
        <v>11</v>
      </c>
      <c r="K29">
        <v>5</v>
      </c>
      <c r="L29">
        <v>1</v>
      </c>
      <c r="M29">
        <v>40</v>
      </c>
      <c r="N29">
        <v>10</v>
      </c>
      <c r="O29">
        <v>3</v>
      </c>
      <c r="P29">
        <v>95</v>
      </c>
      <c r="Q29">
        <v>8</v>
      </c>
      <c r="R29">
        <v>48</v>
      </c>
      <c r="S29">
        <v>0</v>
      </c>
      <c r="T29">
        <v>116</v>
      </c>
      <c r="U29">
        <v>550</v>
      </c>
      <c r="V29">
        <v>833</v>
      </c>
      <c r="W29">
        <v>3</v>
      </c>
      <c r="X29">
        <v>2065</v>
      </c>
      <c r="Y29">
        <v>1003</v>
      </c>
      <c r="Z29">
        <v>1</v>
      </c>
      <c r="AA29">
        <v>6</v>
      </c>
      <c r="AB29">
        <v>4</v>
      </c>
      <c r="AC29">
        <v>13650</v>
      </c>
      <c r="AD29">
        <v>31</v>
      </c>
      <c r="AE29">
        <v>2281</v>
      </c>
      <c r="AG29">
        <v>883</v>
      </c>
      <c r="AH29">
        <v>196</v>
      </c>
      <c r="AI29">
        <v>22599</v>
      </c>
      <c r="AK29">
        <v>5</v>
      </c>
      <c r="AL29">
        <v>532</v>
      </c>
      <c r="AM29">
        <v>2</v>
      </c>
      <c r="AN29">
        <v>59</v>
      </c>
      <c r="AO29">
        <v>27</v>
      </c>
      <c r="AP29" t="s">
        <v>30</v>
      </c>
    </row>
    <row r="30" spans="1:42" x14ac:dyDescent="0.3">
      <c r="A30" t="s">
        <v>26</v>
      </c>
      <c r="B30">
        <v>15</v>
      </c>
      <c r="C30">
        <v>13</v>
      </c>
      <c r="D30">
        <v>45</v>
      </c>
      <c r="E30">
        <v>50</v>
      </c>
      <c r="F30">
        <v>4</v>
      </c>
      <c r="G30">
        <v>423</v>
      </c>
      <c r="H30">
        <v>143</v>
      </c>
      <c r="I30">
        <v>5</v>
      </c>
      <c r="J30">
        <v>5</v>
      </c>
      <c r="K30">
        <v>2</v>
      </c>
      <c r="L30">
        <v>2</v>
      </c>
      <c r="M30">
        <v>34</v>
      </c>
      <c r="N30">
        <v>11</v>
      </c>
      <c r="O30">
        <v>3</v>
      </c>
      <c r="P30">
        <v>103</v>
      </c>
      <c r="Q30">
        <v>11</v>
      </c>
      <c r="R30">
        <v>53</v>
      </c>
      <c r="S30">
        <v>4</v>
      </c>
      <c r="T30">
        <v>151</v>
      </c>
      <c r="U30">
        <v>482</v>
      </c>
      <c r="V30">
        <v>916</v>
      </c>
      <c r="W30">
        <v>3</v>
      </c>
      <c r="X30">
        <v>1852</v>
      </c>
      <c r="Y30">
        <v>819</v>
      </c>
      <c r="Z30">
        <v>2</v>
      </c>
      <c r="AA30">
        <v>4</v>
      </c>
      <c r="AB30">
        <v>2</v>
      </c>
      <c r="AC30">
        <v>15149</v>
      </c>
      <c r="AD30">
        <v>45</v>
      </c>
      <c r="AE30">
        <v>2289</v>
      </c>
      <c r="AG30">
        <v>695</v>
      </c>
      <c r="AH30">
        <v>156</v>
      </c>
      <c r="AI30">
        <v>23416</v>
      </c>
      <c r="AK30">
        <v>7</v>
      </c>
      <c r="AL30">
        <v>559</v>
      </c>
      <c r="AM30">
        <v>2</v>
      </c>
      <c r="AN30">
        <v>45</v>
      </c>
      <c r="AO30">
        <v>43</v>
      </c>
      <c r="AP30" t="s">
        <v>30</v>
      </c>
    </row>
    <row r="31" spans="1:42" x14ac:dyDescent="0.3">
      <c r="A31" t="s">
        <v>18</v>
      </c>
      <c r="B31">
        <v>13</v>
      </c>
      <c r="C31">
        <v>15</v>
      </c>
      <c r="D31">
        <v>42</v>
      </c>
      <c r="E31">
        <v>63</v>
      </c>
      <c r="F31">
        <v>1</v>
      </c>
      <c r="G31">
        <v>500</v>
      </c>
      <c r="H31">
        <v>154</v>
      </c>
      <c r="I31">
        <v>15</v>
      </c>
      <c r="J31">
        <v>7</v>
      </c>
      <c r="K31">
        <v>2</v>
      </c>
      <c r="L31">
        <v>2</v>
      </c>
      <c r="M31">
        <v>34</v>
      </c>
      <c r="N31">
        <v>8</v>
      </c>
      <c r="O31">
        <v>3</v>
      </c>
      <c r="P31">
        <v>117</v>
      </c>
      <c r="Q31">
        <v>8</v>
      </c>
      <c r="R31">
        <v>50</v>
      </c>
      <c r="S31">
        <v>1</v>
      </c>
      <c r="T31">
        <v>142</v>
      </c>
      <c r="U31">
        <v>444</v>
      </c>
      <c r="V31">
        <v>848</v>
      </c>
      <c r="W31">
        <v>1</v>
      </c>
      <c r="X31">
        <v>1952</v>
      </c>
      <c r="Y31">
        <v>978</v>
      </c>
      <c r="Z31">
        <v>1</v>
      </c>
      <c r="AA31">
        <v>6</v>
      </c>
      <c r="AB31">
        <v>2</v>
      </c>
      <c r="AC31">
        <v>13773</v>
      </c>
      <c r="AD31">
        <v>39</v>
      </c>
      <c r="AE31">
        <v>2376</v>
      </c>
      <c r="AG31">
        <v>910</v>
      </c>
      <c r="AH31">
        <v>207</v>
      </c>
      <c r="AI31">
        <v>22347</v>
      </c>
      <c r="AK31">
        <v>8</v>
      </c>
      <c r="AL31">
        <v>511</v>
      </c>
      <c r="AM31">
        <v>3</v>
      </c>
      <c r="AN31">
        <v>77</v>
      </c>
      <c r="AO31">
        <v>19</v>
      </c>
      <c r="AP31" t="s">
        <v>30</v>
      </c>
    </row>
    <row r="32" spans="1:42" x14ac:dyDescent="0.3">
      <c r="A32" t="s">
        <v>10</v>
      </c>
      <c r="B32">
        <v>11</v>
      </c>
      <c r="C32">
        <v>17</v>
      </c>
      <c r="D32">
        <v>45</v>
      </c>
      <c r="E32">
        <v>63</v>
      </c>
      <c r="F32">
        <v>1</v>
      </c>
      <c r="G32">
        <v>481</v>
      </c>
      <c r="H32">
        <v>153</v>
      </c>
      <c r="I32">
        <v>10</v>
      </c>
      <c r="J32">
        <v>10</v>
      </c>
      <c r="K32">
        <v>4</v>
      </c>
      <c r="L32">
        <v>2</v>
      </c>
      <c r="M32">
        <v>34</v>
      </c>
      <c r="N32">
        <v>10</v>
      </c>
      <c r="O32">
        <v>1</v>
      </c>
      <c r="P32">
        <v>102</v>
      </c>
      <c r="Q32">
        <v>8</v>
      </c>
      <c r="R32">
        <v>65</v>
      </c>
      <c r="S32">
        <v>0</v>
      </c>
      <c r="T32">
        <v>132</v>
      </c>
      <c r="U32">
        <v>553</v>
      </c>
      <c r="V32">
        <v>876</v>
      </c>
      <c r="W32">
        <v>1</v>
      </c>
      <c r="X32">
        <v>1823</v>
      </c>
      <c r="Y32">
        <v>874</v>
      </c>
      <c r="Z32">
        <v>1</v>
      </c>
      <c r="AA32">
        <v>2</v>
      </c>
      <c r="AB32">
        <v>2</v>
      </c>
      <c r="AC32">
        <v>13947</v>
      </c>
      <c r="AD32">
        <v>31</v>
      </c>
      <c r="AE32">
        <v>2420</v>
      </c>
      <c r="AG32">
        <v>966</v>
      </c>
      <c r="AH32">
        <v>209</v>
      </c>
      <c r="AI32">
        <v>22761</v>
      </c>
      <c r="AK32">
        <v>8</v>
      </c>
      <c r="AL32">
        <v>717</v>
      </c>
      <c r="AM32">
        <v>0</v>
      </c>
      <c r="AN32">
        <v>35</v>
      </c>
      <c r="AO32">
        <v>20</v>
      </c>
      <c r="AP32" t="s">
        <v>30</v>
      </c>
    </row>
    <row r="33" spans="1:42" x14ac:dyDescent="0.3">
      <c r="A33" t="s">
        <v>29</v>
      </c>
      <c r="B33">
        <v>11</v>
      </c>
      <c r="C33">
        <v>21</v>
      </c>
      <c r="D33">
        <v>36</v>
      </c>
      <c r="E33">
        <v>65</v>
      </c>
      <c r="F33">
        <v>4</v>
      </c>
      <c r="G33">
        <v>483</v>
      </c>
      <c r="H33">
        <v>137</v>
      </c>
      <c r="I33">
        <v>7</v>
      </c>
      <c r="J33">
        <v>10</v>
      </c>
      <c r="K33">
        <v>1</v>
      </c>
      <c r="L33">
        <v>0</v>
      </c>
      <c r="M33">
        <v>31</v>
      </c>
      <c r="N33">
        <v>5</v>
      </c>
      <c r="O33">
        <v>2</v>
      </c>
      <c r="P33">
        <v>75</v>
      </c>
      <c r="Q33">
        <v>7</v>
      </c>
      <c r="R33">
        <v>59</v>
      </c>
      <c r="S33">
        <v>0</v>
      </c>
      <c r="T33">
        <v>125</v>
      </c>
      <c r="U33">
        <v>650</v>
      </c>
      <c r="V33">
        <v>892</v>
      </c>
      <c r="W33">
        <v>0</v>
      </c>
      <c r="X33">
        <v>2051</v>
      </c>
      <c r="Y33">
        <v>1031</v>
      </c>
      <c r="Z33">
        <v>3</v>
      </c>
      <c r="AA33">
        <v>9</v>
      </c>
      <c r="AB33">
        <v>9</v>
      </c>
      <c r="AC33">
        <v>12727</v>
      </c>
      <c r="AD33">
        <v>19</v>
      </c>
      <c r="AE33">
        <v>2244</v>
      </c>
      <c r="AG33">
        <v>889</v>
      </c>
      <c r="AH33">
        <v>183</v>
      </c>
      <c r="AI33">
        <v>21415</v>
      </c>
      <c r="AK33">
        <v>5</v>
      </c>
      <c r="AL33">
        <v>586</v>
      </c>
      <c r="AM33">
        <v>0</v>
      </c>
      <c r="AN33">
        <v>40</v>
      </c>
      <c r="AO33">
        <v>25</v>
      </c>
      <c r="AP33" t="s">
        <v>30</v>
      </c>
    </row>
    <row r="34" spans="1:42" x14ac:dyDescent="0.3">
      <c r="A34" t="s">
        <v>21</v>
      </c>
      <c r="B34">
        <v>11</v>
      </c>
      <c r="C34">
        <v>14</v>
      </c>
      <c r="D34">
        <v>66</v>
      </c>
      <c r="E34">
        <v>51</v>
      </c>
      <c r="F34">
        <v>1</v>
      </c>
      <c r="G34">
        <v>555</v>
      </c>
      <c r="H34">
        <v>195</v>
      </c>
      <c r="I34">
        <v>19</v>
      </c>
      <c r="J34">
        <v>12</v>
      </c>
      <c r="K34">
        <v>4</v>
      </c>
      <c r="L34">
        <v>1</v>
      </c>
      <c r="M34">
        <v>59</v>
      </c>
      <c r="N34">
        <v>7</v>
      </c>
      <c r="O34">
        <v>9</v>
      </c>
      <c r="P34">
        <v>123</v>
      </c>
      <c r="Q34">
        <v>9</v>
      </c>
      <c r="R34">
        <v>61</v>
      </c>
      <c r="S34">
        <v>0</v>
      </c>
      <c r="T34">
        <v>125</v>
      </c>
      <c r="U34">
        <v>534</v>
      </c>
      <c r="V34">
        <v>960</v>
      </c>
      <c r="W34">
        <v>2</v>
      </c>
      <c r="X34">
        <v>2043</v>
      </c>
      <c r="Y34">
        <v>1053</v>
      </c>
      <c r="Z34">
        <v>1</v>
      </c>
      <c r="AA34">
        <v>1</v>
      </c>
      <c r="AB34">
        <v>1</v>
      </c>
      <c r="AC34">
        <v>15466</v>
      </c>
      <c r="AD34">
        <v>56</v>
      </c>
      <c r="AE34">
        <v>2428</v>
      </c>
      <c r="AG34">
        <v>994</v>
      </c>
      <c r="AH34">
        <v>238</v>
      </c>
      <c r="AI34">
        <v>24679</v>
      </c>
      <c r="AK34">
        <v>6</v>
      </c>
      <c r="AL34">
        <v>612</v>
      </c>
      <c r="AM34">
        <v>0</v>
      </c>
      <c r="AN34">
        <v>46</v>
      </c>
      <c r="AO34">
        <v>21</v>
      </c>
      <c r="AP34" t="s">
        <v>30</v>
      </c>
    </row>
    <row r="35" spans="1:42" x14ac:dyDescent="0.3">
      <c r="A35" t="s">
        <v>17</v>
      </c>
      <c r="B35">
        <v>10</v>
      </c>
      <c r="C35">
        <v>16</v>
      </c>
      <c r="D35">
        <v>43</v>
      </c>
      <c r="E35">
        <v>86</v>
      </c>
      <c r="F35">
        <v>2</v>
      </c>
      <c r="G35">
        <v>499</v>
      </c>
      <c r="H35">
        <v>152</v>
      </c>
      <c r="I35">
        <v>13</v>
      </c>
      <c r="J35">
        <v>9</v>
      </c>
      <c r="K35">
        <v>2</v>
      </c>
      <c r="L35">
        <v>2</v>
      </c>
      <c r="M35">
        <v>37</v>
      </c>
      <c r="N35">
        <v>6</v>
      </c>
      <c r="O35">
        <v>6</v>
      </c>
      <c r="P35">
        <v>126</v>
      </c>
      <c r="Q35">
        <v>8</v>
      </c>
      <c r="R35">
        <v>53</v>
      </c>
      <c r="S35">
        <v>0</v>
      </c>
      <c r="T35">
        <v>136</v>
      </c>
      <c r="U35">
        <v>528</v>
      </c>
      <c r="V35">
        <v>835</v>
      </c>
      <c r="W35">
        <v>0</v>
      </c>
      <c r="X35">
        <v>2139</v>
      </c>
      <c r="Y35">
        <v>1043</v>
      </c>
      <c r="Z35">
        <v>5</v>
      </c>
      <c r="AA35">
        <v>2</v>
      </c>
      <c r="AB35">
        <v>2</v>
      </c>
      <c r="AC35">
        <v>12200</v>
      </c>
      <c r="AD35">
        <v>48</v>
      </c>
      <c r="AE35">
        <v>2341</v>
      </c>
      <c r="AG35">
        <v>960</v>
      </c>
      <c r="AH35">
        <v>219</v>
      </c>
      <c r="AI35">
        <v>21064</v>
      </c>
      <c r="AK35">
        <v>2</v>
      </c>
      <c r="AL35">
        <v>575</v>
      </c>
      <c r="AM35">
        <v>0</v>
      </c>
      <c r="AN35">
        <v>68</v>
      </c>
      <c r="AO35">
        <v>38</v>
      </c>
      <c r="AP35" t="s">
        <v>30</v>
      </c>
    </row>
    <row r="36" spans="1:42" x14ac:dyDescent="0.3">
      <c r="A36" t="s">
        <v>16</v>
      </c>
      <c r="B36">
        <v>10</v>
      </c>
      <c r="C36">
        <v>22</v>
      </c>
      <c r="D36">
        <v>41</v>
      </c>
      <c r="E36">
        <v>59</v>
      </c>
      <c r="F36">
        <v>5</v>
      </c>
      <c r="G36">
        <v>441</v>
      </c>
      <c r="H36">
        <v>132</v>
      </c>
      <c r="I36">
        <v>10</v>
      </c>
      <c r="J36">
        <v>12</v>
      </c>
      <c r="K36">
        <v>2</v>
      </c>
      <c r="L36">
        <v>1</v>
      </c>
      <c r="M36">
        <v>35</v>
      </c>
      <c r="N36">
        <v>6</v>
      </c>
      <c r="O36">
        <v>3</v>
      </c>
      <c r="P36">
        <v>60</v>
      </c>
      <c r="Q36">
        <v>8</v>
      </c>
      <c r="R36">
        <v>66</v>
      </c>
      <c r="S36">
        <v>7</v>
      </c>
      <c r="T36">
        <v>128</v>
      </c>
      <c r="U36">
        <v>452</v>
      </c>
      <c r="V36">
        <v>800</v>
      </c>
      <c r="W36">
        <v>2</v>
      </c>
      <c r="X36">
        <v>1783</v>
      </c>
      <c r="Y36">
        <v>859</v>
      </c>
      <c r="Z36">
        <v>2</v>
      </c>
      <c r="AA36">
        <v>7</v>
      </c>
      <c r="AB36">
        <v>3</v>
      </c>
      <c r="AC36">
        <v>10431</v>
      </c>
      <c r="AD36">
        <v>45</v>
      </c>
      <c r="AE36">
        <v>2199</v>
      </c>
      <c r="AG36">
        <v>1087</v>
      </c>
      <c r="AH36">
        <v>238</v>
      </c>
      <c r="AI36">
        <v>19140</v>
      </c>
      <c r="AK36">
        <v>6</v>
      </c>
      <c r="AL36">
        <v>532</v>
      </c>
      <c r="AM36">
        <v>2</v>
      </c>
      <c r="AN36">
        <v>61</v>
      </c>
      <c r="AO36">
        <v>28</v>
      </c>
      <c r="AP36" t="s">
        <v>30</v>
      </c>
    </row>
    <row r="37" spans="1:42" x14ac:dyDescent="0.3">
      <c r="A37" t="s">
        <v>11</v>
      </c>
      <c r="B37">
        <v>10</v>
      </c>
      <c r="C37">
        <v>18</v>
      </c>
      <c r="D37">
        <v>34</v>
      </c>
      <c r="E37">
        <v>59</v>
      </c>
      <c r="F37">
        <v>4</v>
      </c>
      <c r="G37">
        <v>489</v>
      </c>
      <c r="H37">
        <v>141</v>
      </c>
      <c r="I37">
        <v>11</v>
      </c>
      <c r="J37">
        <v>6</v>
      </c>
      <c r="K37">
        <v>4</v>
      </c>
      <c r="L37">
        <v>1</v>
      </c>
      <c r="M37">
        <v>28</v>
      </c>
      <c r="N37">
        <v>6</v>
      </c>
      <c r="O37">
        <v>3</v>
      </c>
      <c r="P37">
        <v>137</v>
      </c>
      <c r="Q37">
        <v>12</v>
      </c>
      <c r="R37">
        <v>51</v>
      </c>
      <c r="S37">
        <v>5</v>
      </c>
      <c r="T37">
        <v>129</v>
      </c>
      <c r="U37">
        <v>531</v>
      </c>
      <c r="V37">
        <v>883</v>
      </c>
      <c r="W37">
        <v>3</v>
      </c>
      <c r="X37">
        <v>1837</v>
      </c>
      <c r="Y37">
        <v>917</v>
      </c>
      <c r="Z37">
        <v>1</v>
      </c>
      <c r="AA37">
        <v>4</v>
      </c>
      <c r="AB37">
        <v>2</v>
      </c>
      <c r="AC37">
        <v>11684</v>
      </c>
      <c r="AD37">
        <v>27</v>
      </c>
      <c r="AE37">
        <v>2163</v>
      </c>
      <c r="AG37">
        <v>767</v>
      </c>
      <c r="AH37">
        <v>186</v>
      </c>
      <c r="AI37">
        <v>19855</v>
      </c>
      <c r="AK37">
        <v>7</v>
      </c>
      <c r="AL37">
        <v>510</v>
      </c>
      <c r="AM37">
        <v>1</v>
      </c>
      <c r="AN37">
        <v>68</v>
      </c>
      <c r="AO37">
        <v>14</v>
      </c>
      <c r="AP37" t="s">
        <v>30</v>
      </c>
    </row>
    <row r="38" spans="1:42" x14ac:dyDescent="0.3">
      <c r="A38" t="s">
        <v>20</v>
      </c>
      <c r="B38">
        <v>9</v>
      </c>
      <c r="C38">
        <v>19</v>
      </c>
      <c r="D38">
        <v>36</v>
      </c>
      <c r="E38">
        <v>76</v>
      </c>
      <c r="F38">
        <v>0</v>
      </c>
      <c r="G38">
        <v>451</v>
      </c>
      <c r="H38">
        <v>149</v>
      </c>
      <c r="I38">
        <v>14</v>
      </c>
      <c r="J38">
        <v>5</v>
      </c>
      <c r="K38">
        <v>0</v>
      </c>
      <c r="L38">
        <v>2</v>
      </c>
      <c r="M38">
        <v>30</v>
      </c>
      <c r="N38">
        <v>6</v>
      </c>
      <c r="O38">
        <v>2</v>
      </c>
      <c r="P38">
        <v>111</v>
      </c>
      <c r="Q38">
        <v>12</v>
      </c>
      <c r="R38">
        <v>54</v>
      </c>
      <c r="S38">
        <v>0</v>
      </c>
      <c r="T38">
        <v>145</v>
      </c>
      <c r="U38">
        <v>542</v>
      </c>
      <c r="V38">
        <v>866</v>
      </c>
      <c r="W38">
        <v>3</v>
      </c>
      <c r="X38">
        <v>2166</v>
      </c>
      <c r="Y38">
        <v>1128</v>
      </c>
      <c r="Z38">
        <v>4</v>
      </c>
      <c r="AA38">
        <v>5</v>
      </c>
      <c r="AB38">
        <v>5</v>
      </c>
      <c r="AC38">
        <v>11854</v>
      </c>
      <c r="AD38">
        <v>22</v>
      </c>
      <c r="AE38">
        <v>2163</v>
      </c>
      <c r="AG38">
        <v>905</v>
      </c>
      <c r="AH38">
        <v>208</v>
      </c>
      <c r="AI38">
        <v>20846</v>
      </c>
      <c r="AK38">
        <v>6</v>
      </c>
      <c r="AL38">
        <v>545</v>
      </c>
      <c r="AM38">
        <v>0</v>
      </c>
      <c r="AN38">
        <v>47</v>
      </c>
      <c r="AO38">
        <v>20</v>
      </c>
      <c r="AP38" t="s">
        <v>30</v>
      </c>
    </row>
    <row r="39" spans="1:42" x14ac:dyDescent="0.3">
      <c r="A39" t="s">
        <v>32</v>
      </c>
      <c r="B39">
        <v>8</v>
      </c>
      <c r="C39">
        <v>19</v>
      </c>
      <c r="D39">
        <v>46</v>
      </c>
      <c r="E39">
        <v>70</v>
      </c>
      <c r="F39">
        <v>3</v>
      </c>
      <c r="G39">
        <v>414</v>
      </c>
      <c r="H39">
        <v>143</v>
      </c>
      <c r="I39">
        <v>6</v>
      </c>
      <c r="J39">
        <v>6</v>
      </c>
      <c r="K39">
        <v>6</v>
      </c>
      <c r="L39">
        <v>5</v>
      </c>
      <c r="M39">
        <v>34</v>
      </c>
      <c r="N39">
        <v>12</v>
      </c>
      <c r="O39">
        <v>1</v>
      </c>
      <c r="P39">
        <v>78</v>
      </c>
      <c r="Q39">
        <v>3</v>
      </c>
      <c r="R39">
        <v>62</v>
      </c>
      <c r="S39">
        <v>0</v>
      </c>
      <c r="T39">
        <v>143</v>
      </c>
      <c r="U39">
        <v>515</v>
      </c>
      <c r="V39">
        <v>935</v>
      </c>
      <c r="W39">
        <v>3</v>
      </c>
      <c r="X39">
        <v>2145</v>
      </c>
      <c r="Y39">
        <v>1023</v>
      </c>
      <c r="Z39">
        <v>1</v>
      </c>
      <c r="AA39">
        <v>8</v>
      </c>
      <c r="AB39">
        <v>8</v>
      </c>
      <c r="AC39">
        <v>10630</v>
      </c>
      <c r="AD39">
        <v>35</v>
      </c>
      <c r="AE39">
        <v>2219</v>
      </c>
      <c r="AG39">
        <v>774</v>
      </c>
      <c r="AH39">
        <v>193</v>
      </c>
      <c r="AI39">
        <v>19541</v>
      </c>
      <c r="AK39">
        <v>6</v>
      </c>
      <c r="AL39">
        <v>551</v>
      </c>
      <c r="AM39">
        <v>0</v>
      </c>
      <c r="AN39">
        <v>77</v>
      </c>
      <c r="AO39">
        <v>11</v>
      </c>
      <c r="AP39" t="s">
        <v>30</v>
      </c>
    </row>
    <row r="40" spans="1:42" x14ac:dyDescent="0.3">
      <c r="A40" t="s">
        <v>23</v>
      </c>
      <c r="B40">
        <v>8</v>
      </c>
      <c r="C40">
        <v>18</v>
      </c>
      <c r="D40">
        <v>38</v>
      </c>
      <c r="E40">
        <v>55</v>
      </c>
      <c r="F40">
        <v>6</v>
      </c>
      <c r="G40">
        <v>469</v>
      </c>
      <c r="H40">
        <v>154</v>
      </c>
      <c r="I40">
        <v>7</v>
      </c>
      <c r="J40">
        <v>7</v>
      </c>
      <c r="K40">
        <v>2</v>
      </c>
      <c r="L40">
        <v>4</v>
      </c>
      <c r="M40">
        <v>29</v>
      </c>
      <c r="N40">
        <v>9</v>
      </c>
      <c r="O40">
        <v>3</v>
      </c>
      <c r="P40">
        <v>91</v>
      </c>
      <c r="Q40">
        <v>7</v>
      </c>
      <c r="R40">
        <v>60</v>
      </c>
      <c r="S40">
        <v>0</v>
      </c>
      <c r="T40">
        <v>119</v>
      </c>
      <c r="U40">
        <v>466</v>
      </c>
      <c r="V40">
        <v>851</v>
      </c>
      <c r="W40">
        <v>2</v>
      </c>
      <c r="X40">
        <v>2072</v>
      </c>
      <c r="Y40">
        <v>938</v>
      </c>
      <c r="Z40">
        <v>2</v>
      </c>
      <c r="AA40">
        <v>5</v>
      </c>
      <c r="AB40">
        <v>5</v>
      </c>
      <c r="AC40">
        <v>12576</v>
      </c>
      <c r="AD40">
        <v>29</v>
      </c>
      <c r="AE40">
        <v>2311</v>
      </c>
      <c r="AG40">
        <v>849</v>
      </c>
      <c r="AH40">
        <v>183</v>
      </c>
      <c r="AI40">
        <v>21259</v>
      </c>
      <c r="AK40">
        <v>4</v>
      </c>
      <c r="AL40">
        <v>589</v>
      </c>
      <c r="AM40">
        <v>0</v>
      </c>
      <c r="AN40">
        <v>55</v>
      </c>
      <c r="AO40">
        <v>27</v>
      </c>
      <c r="AP40" t="s">
        <v>30</v>
      </c>
    </row>
    <row r="41" spans="1:42" x14ac:dyDescent="0.3">
      <c r="A41" t="s">
        <v>31</v>
      </c>
      <c r="B41">
        <v>1</v>
      </c>
      <c r="C41">
        <v>29</v>
      </c>
      <c r="D41">
        <v>20</v>
      </c>
      <c r="E41">
        <v>63</v>
      </c>
      <c r="F41">
        <v>1</v>
      </c>
      <c r="G41">
        <v>376</v>
      </c>
      <c r="H41">
        <v>116</v>
      </c>
      <c r="I41">
        <v>7</v>
      </c>
      <c r="J41">
        <v>3</v>
      </c>
      <c r="K41">
        <v>0</v>
      </c>
      <c r="L41">
        <v>0</v>
      </c>
      <c r="M41">
        <v>15</v>
      </c>
      <c r="N41">
        <v>5</v>
      </c>
      <c r="O41">
        <v>2</v>
      </c>
      <c r="P41">
        <v>103</v>
      </c>
      <c r="Q41">
        <v>3</v>
      </c>
      <c r="R41">
        <v>89</v>
      </c>
      <c r="S41">
        <v>8</v>
      </c>
      <c r="T41">
        <v>129</v>
      </c>
      <c r="U41">
        <v>510</v>
      </c>
      <c r="V41">
        <v>898</v>
      </c>
      <c r="W41">
        <v>5</v>
      </c>
      <c r="X41">
        <v>2042</v>
      </c>
      <c r="Y41">
        <v>976</v>
      </c>
      <c r="Z41">
        <v>2</v>
      </c>
      <c r="AA41">
        <v>4</v>
      </c>
      <c r="AB41">
        <v>4</v>
      </c>
      <c r="AC41">
        <v>11739</v>
      </c>
      <c r="AD41">
        <v>29</v>
      </c>
      <c r="AE41">
        <v>2168</v>
      </c>
      <c r="AG41">
        <v>804</v>
      </c>
      <c r="AH41">
        <v>158</v>
      </c>
      <c r="AI41">
        <v>20140</v>
      </c>
      <c r="AK41">
        <v>5</v>
      </c>
      <c r="AL41">
        <v>464</v>
      </c>
      <c r="AM41">
        <v>0</v>
      </c>
      <c r="AN41">
        <v>68</v>
      </c>
      <c r="AO41">
        <v>24</v>
      </c>
      <c r="AP41" t="s">
        <v>30</v>
      </c>
    </row>
    <row r="42" spans="1:42" x14ac:dyDescent="0.3">
      <c r="A42" t="s">
        <v>22</v>
      </c>
      <c r="B42">
        <v>28</v>
      </c>
      <c r="C42">
        <v>4</v>
      </c>
      <c r="D42">
        <v>68</v>
      </c>
      <c r="E42">
        <v>61</v>
      </c>
      <c r="F42">
        <v>5</v>
      </c>
      <c r="G42">
        <v>715</v>
      </c>
      <c r="H42">
        <v>230</v>
      </c>
      <c r="I42">
        <v>9</v>
      </c>
      <c r="J42">
        <v>7</v>
      </c>
      <c r="K42">
        <v>4</v>
      </c>
      <c r="L42">
        <v>4</v>
      </c>
      <c r="M42">
        <v>56</v>
      </c>
      <c r="N42">
        <v>12</v>
      </c>
      <c r="O42">
        <v>12</v>
      </c>
      <c r="P42">
        <v>99</v>
      </c>
      <c r="Q42">
        <v>24</v>
      </c>
      <c r="R42">
        <v>24</v>
      </c>
      <c r="S42">
        <v>3</v>
      </c>
      <c r="T42">
        <v>120</v>
      </c>
      <c r="U42">
        <v>640</v>
      </c>
      <c r="V42">
        <v>741</v>
      </c>
      <c r="W42">
        <v>8</v>
      </c>
      <c r="X42">
        <v>1322</v>
      </c>
      <c r="Y42">
        <v>716</v>
      </c>
      <c r="Z42">
        <v>1</v>
      </c>
      <c r="AA42">
        <v>3</v>
      </c>
      <c r="AB42">
        <v>3</v>
      </c>
      <c r="AC42">
        <v>19416</v>
      </c>
      <c r="AD42">
        <v>291</v>
      </c>
      <c r="AE42">
        <v>2192</v>
      </c>
      <c r="AG42">
        <v>1039</v>
      </c>
      <c r="AH42">
        <v>257</v>
      </c>
      <c r="AI42">
        <v>30077</v>
      </c>
      <c r="AK42">
        <v>3</v>
      </c>
      <c r="AL42">
        <v>579</v>
      </c>
      <c r="AM42">
        <v>0</v>
      </c>
      <c r="AN42">
        <v>56</v>
      </c>
      <c r="AO42">
        <v>22</v>
      </c>
      <c r="AP42" t="s">
        <v>36</v>
      </c>
    </row>
    <row r="43" spans="1:42" x14ac:dyDescent="0.3">
      <c r="A43" t="s">
        <v>25</v>
      </c>
      <c r="B43">
        <v>25</v>
      </c>
      <c r="C43">
        <v>5</v>
      </c>
      <c r="D43">
        <v>68</v>
      </c>
      <c r="E43">
        <v>50</v>
      </c>
      <c r="F43">
        <v>3</v>
      </c>
      <c r="G43">
        <v>797</v>
      </c>
      <c r="H43">
        <v>248</v>
      </c>
      <c r="I43">
        <v>17</v>
      </c>
      <c r="J43">
        <v>12</v>
      </c>
      <c r="K43">
        <v>2</v>
      </c>
      <c r="L43">
        <v>2</v>
      </c>
      <c r="M43">
        <v>59</v>
      </c>
      <c r="N43">
        <v>9</v>
      </c>
      <c r="O43">
        <v>4</v>
      </c>
      <c r="P43">
        <v>114</v>
      </c>
      <c r="Q43">
        <v>22</v>
      </c>
      <c r="R43">
        <v>24</v>
      </c>
      <c r="S43">
        <v>5</v>
      </c>
      <c r="T43">
        <v>124</v>
      </c>
      <c r="U43">
        <v>504</v>
      </c>
      <c r="V43">
        <v>773</v>
      </c>
      <c r="W43">
        <v>15</v>
      </c>
      <c r="X43">
        <v>1069</v>
      </c>
      <c r="Y43">
        <v>585</v>
      </c>
      <c r="Z43">
        <v>1</v>
      </c>
      <c r="AA43">
        <v>1</v>
      </c>
      <c r="AB43">
        <v>0</v>
      </c>
      <c r="AC43">
        <v>19923</v>
      </c>
      <c r="AD43">
        <v>205</v>
      </c>
      <c r="AE43">
        <v>2121</v>
      </c>
      <c r="AG43">
        <v>938</v>
      </c>
      <c r="AH43">
        <v>237</v>
      </c>
      <c r="AI43">
        <v>29962</v>
      </c>
      <c r="AK43">
        <v>3</v>
      </c>
      <c r="AL43">
        <v>518</v>
      </c>
      <c r="AM43">
        <v>1</v>
      </c>
      <c r="AN43">
        <v>111</v>
      </c>
      <c r="AO43">
        <v>35</v>
      </c>
      <c r="AP43" t="s">
        <v>36</v>
      </c>
    </row>
    <row r="44" spans="1:42" x14ac:dyDescent="0.3">
      <c r="A44" t="s">
        <v>2</v>
      </c>
      <c r="B44">
        <v>25</v>
      </c>
      <c r="C44">
        <v>2</v>
      </c>
      <c r="D44">
        <v>77</v>
      </c>
      <c r="E44">
        <v>50</v>
      </c>
      <c r="F44">
        <v>0</v>
      </c>
      <c r="G44">
        <v>736</v>
      </c>
      <c r="H44">
        <v>224</v>
      </c>
      <c r="I44">
        <v>26</v>
      </c>
      <c r="J44">
        <v>14</v>
      </c>
      <c r="K44">
        <v>5</v>
      </c>
      <c r="L44">
        <v>2</v>
      </c>
      <c r="M44">
        <v>65</v>
      </c>
      <c r="N44">
        <v>12</v>
      </c>
      <c r="O44">
        <v>4</v>
      </c>
      <c r="P44">
        <v>98</v>
      </c>
      <c r="Q44">
        <v>20</v>
      </c>
      <c r="R44">
        <v>27</v>
      </c>
      <c r="S44">
        <v>2</v>
      </c>
      <c r="T44">
        <v>66</v>
      </c>
      <c r="U44">
        <v>657</v>
      </c>
      <c r="V44">
        <v>927</v>
      </c>
      <c r="W44">
        <v>5</v>
      </c>
      <c r="X44">
        <v>1279</v>
      </c>
      <c r="Y44">
        <v>722</v>
      </c>
      <c r="Z44">
        <v>3</v>
      </c>
      <c r="AA44">
        <v>2</v>
      </c>
      <c r="AB44">
        <v>2</v>
      </c>
      <c r="AC44">
        <v>19505</v>
      </c>
      <c r="AD44">
        <v>192</v>
      </c>
      <c r="AE44">
        <v>2714</v>
      </c>
      <c r="AG44">
        <v>1021</v>
      </c>
      <c r="AH44">
        <v>269</v>
      </c>
      <c r="AI44">
        <v>29875</v>
      </c>
      <c r="AK44">
        <v>0</v>
      </c>
      <c r="AL44">
        <v>470</v>
      </c>
      <c r="AM44">
        <v>0</v>
      </c>
      <c r="AN44">
        <v>61</v>
      </c>
      <c r="AO44">
        <v>19</v>
      </c>
      <c r="AP44" t="s">
        <v>36</v>
      </c>
    </row>
    <row r="45" spans="1:42" x14ac:dyDescent="0.3">
      <c r="A45" t="s">
        <v>5</v>
      </c>
      <c r="B45">
        <v>20</v>
      </c>
      <c r="C45">
        <v>6</v>
      </c>
      <c r="D45">
        <v>68</v>
      </c>
      <c r="E45">
        <v>58</v>
      </c>
      <c r="F45">
        <v>3</v>
      </c>
      <c r="G45">
        <v>662</v>
      </c>
      <c r="H45">
        <v>220</v>
      </c>
      <c r="I45">
        <v>22</v>
      </c>
      <c r="J45">
        <v>14</v>
      </c>
      <c r="K45">
        <v>5</v>
      </c>
      <c r="L45">
        <v>0</v>
      </c>
      <c r="M45">
        <v>62</v>
      </c>
      <c r="N45">
        <v>6</v>
      </c>
      <c r="O45">
        <v>7</v>
      </c>
      <c r="P45">
        <v>88</v>
      </c>
      <c r="Q45">
        <v>16</v>
      </c>
      <c r="R45">
        <v>37</v>
      </c>
      <c r="S45">
        <v>2</v>
      </c>
      <c r="T45">
        <v>87</v>
      </c>
      <c r="U45">
        <v>872</v>
      </c>
      <c r="V45">
        <v>875</v>
      </c>
      <c r="W45">
        <v>6</v>
      </c>
      <c r="X45">
        <v>1280</v>
      </c>
      <c r="Y45">
        <v>738</v>
      </c>
      <c r="Z45">
        <v>3</v>
      </c>
      <c r="AA45">
        <v>5</v>
      </c>
      <c r="AB45">
        <v>3</v>
      </c>
      <c r="AC45">
        <v>18991</v>
      </c>
      <c r="AD45">
        <v>225</v>
      </c>
      <c r="AE45">
        <v>2044</v>
      </c>
      <c r="AG45">
        <v>1069</v>
      </c>
      <c r="AH45">
        <v>267</v>
      </c>
      <c r="AI45">
        <v>29877</v>
      </c>
      <c r="AK45">
        <v>9</v>
      </c>
      <c r="AL45">
        <v>692</v>
      </c>
      <c r="AM45">
        <v>2</v>
      </c>
      <c r="AN45">
        <v>65</v>
      </c>
      <c r="AO45">
        <v>26</v>
      </c>
      <c r="AP45" t="s">
        <v>36</v>
      </c>
    </row>
    <row r="46" spans="1:42" x14ac:dyDescent="0.3">
      <c r="A46" t="s">
        <v>6</v>
      </c>
      <c r="B46">
        <v>17</v>
      </c>
      <c r="C46">
        <v>10</v>
      </c>
      <c r="D46">
        <v>54</v>
      </c>
      <c r="E46">
        <v>54</v>
      </c>
      <c r="F46">
        <v>2</v>
      </c>
      <c r="G46">
        <v>472</v>
      </c>
      <c r="H46">
        <v>159</v>
      </c>
      <c r="I46">
        <v>15</v>
      </c>
      <c r="J46">
        <v>10</v>
      </c>
      <c r="K46">
        <v>4</v>
      </c>
      <c r="L46">
        <v>2</v>
      </c>
      <c r="M46">
        <v>44</v>
      </c>
      <c r="N46">
        <v>10</v>
      </c>
      <c r="O46">
        <v>10</v>
      </c>
      <c r="P46">
        <v>85</v>
      </c>
      <c r="Q46">
        <v>13</v>
      </c>
      <c r="R46">
        <v>48</v>
      </c>
      <c r="S46">
        <v>1</v>
      </c>
      <c r="T46">
        <v>146</v>
      </c>
      <c r="U46">
        <v>710</v>
      </c>
      <c r="V46">
        <v>982</v>
      </c>
      <c r="W46">
        <v>11</v>
      </c>
      <c r="X46">
        <v>1764</v>
      </c>
      <c r="Y46">
        <v>1088</v>
      </c>
      <c r="Z46">
        <v>0</v>
      </c>
      <c r="AA46">
        <v>6</v>
      </c>
      <c r="AB46">
        <v>6</v>
      </c>
      <c r="AC46">
        <v>12419</v>
      </c>
      <c r="AD46">
        <v>81</v>
      </c>
      <c r="AE46">
        <v>2208</v>
      </c>
      <c r="AG46">
        <v>1119</v>
      </c>
      <c r="AH46">
        <v>257</v>
      </c>
      <c r="AI46">
        <v>23020</v>
      </c>
      <c r="AK46">
        <v>4</v>
      </c>
      <c r="AL46">
        <v>536</v>
      </c>
      <c r="AM46">
        <v>0</v>
      </c>
      <c r="AN46">
        <v>32</v>
      </c>
      <c r="AO46">
        <v>26</v>
      </c>
      <c r="AP46" t="s">
        <v>36</v>
      </c>
    </row>
    <row r="47" spans="1:42" x14ac:dyDescent="0.3">
      <c r="A47" t="s">
        <v>7</v>
      </c>
      <c r="B47">
        <v>17</v>
      </c>
      <c r="C47">
        <v>9</v>
      </c>
      <c r="D47">
        <v>55</v>
      </c>
      <c r="E47">
        <v>49</v>
      </c>
      <c r="F47">
        <v>1</v>
      </c>
      <c r="G47">
        <v>496</v>
      </c>
      <c r="H47">
        <v>169</v>
      </c>
      <c r="I47">
        <v>12</v>
      </c>
      <c r="J47">
        <v>14</v>
      </c>
      <c r="K47">
        <v>4</v>
      </c>
      <c r="L47">
        <v>4</v>
      </c>
      <c r="M47">
        <v>47</v>
      </c>
      <c r="N47">
        <v>8</v>
      </c>
      <c r="O47">
        <v>0</v>
      </c>
      <c r="P47">
        <v>99</v>
      </c>
      <c r="Q47">
        <v>17</v>
      </c>
      <c r="R47">
        <v>37</v>
      </c>
      <c r="S47">
        <v>4</v>
      </c>
      <c r="T47">
        <v>146</v>
      </c>
      <c r="U47">
        <v>660</v>
      </c>
      <c r="V47">
        <v>775</v>
      </c>
      <c r="W47">
        <v>12</v>
      </c>
      <c r="X47">
        <v>1602</v>
      </c>
      <c r="Y47">
        <v>854</v>
      </c>
      <c r="Z47">
        <v>2</v>
      </c>
      <c r="AA47">
        <v>3</v>
      </c>
      <c r="AB47">
        <v>3</v>
      </c>
      <c r="AC47">
        <v>15024</v>
      </c>
      <c r="AD47">
        <v>102</v>
      </c>
      <c r="AE47">
        <v>2299</v>
      </c>
      <c r="AG47">
        <v>1022</v>
      </c>
      <c r="AH47">
        <v>191</v>
      </c>
      <c r="AI47">
        <v>25205</v>
      </c>
      <c r="AK47">
        <v>4</v>
      </c>
      <c r="AL47">
        <v>584</v>
      </c>
      <c r="AM47">
        <v>0</v>
      </c>
      <c r="AN47">
        <v>74</v>
      </c>
      <c r="AO47">
        <v>25</v>
      </c>
      <c r="AP47" t="s">
        <v>36</v>
      </c>
    </row>
    <row r="48" spans="1:42" x14ac:dyDescent="0.3">
      <c r="A48" t="s">
        <v>26</v>
      </c>
      <c r="B48">
        <v>15</v>
      </c>
      <c r="C48">
        <v>18</v>
      </c>
      <c r="D48">
        <v>58</v>
      </c>
      <c r="E48">
        <v>49</v>
      </c>
      <c r="F48">
        <v>4</v>
      </c>
      <c r="G48">
        <v>572</v>
      </c>
      <c r="H48">
        <v>201</v>
      </c>
      <c r="I48">
        <v>11</v>
      </c>
      <c r="J48">
        <v>3</v>
      </c>
      <c r="K48">
        <v>6</v>
      </c>
      <c r="L48">
        <v>2</v>
      </c>
      <c r="M48">
        <v>52</v>
      </c>
      <c r="N48">
        <v>6</v>
      </c>
      <c r="O48">
        <v>8</v>
      </c>
      <c r="P48">
        <v>79</v>
      </c>
      <c r="Q48">
        <v>10</v>
      </c>
      <c r="R48">
        <v>50</v>
      </c>
      <c r="S48">
        <v>5</v>
      </c>
      <c r="T48">
        <v>124</v>
      </c>
      <c r="U48">
        <v>740</v>
      </c>
      <c r="V48">
        <v>939</v>
      </c>
      <c r="W48">
        <v>18</v>
      </c>
      <c r="X48">
        <v>1496</v>
      </c>
      <c r="Y48">
        <v>828</v>
      </c>
      <c r="Z48">
        <v>2</v>
      </c>
      <c r="AA48">
        <v>4</v>
      </c>
      <c r="AB48">
        <v>3</v>
      </c>
      <c r="AC48">
        <v>15971</v>
      </c>
      <c r="AD48">
        <v>187</v>
      </c>
      <c r="AE48">
        <v>2229</v>
      </c>
      <c r="AG48">
        <v>690</v>
      </c>
      <c r="AH48">
        <v>210</v>
      </c>
      <c r="AI48">
        <v>26120</v>
      </c>
      <c r="AK48">
        <v>7</v>
      </c>
      <c r="AL48">
        <v>578</v>
      </c>
      <c r="AM48">
        <v>1</v>
      </c>
      <c r="AN48">
        <v>54</v>
      </c>
      <c r="AO48">
        <v>34</v>
      </c>
      <c r="AP48" t="s">
        <v>36</v>
      </c>
    </row>
    <row r="49" spans="1:42" x14ac:dyDescent="0.3">
      <c r="A49" t="s">
        <v>23</v>
      </c>
      <c r="B49">
        <v>14</v>
      </c>
      <c r="C49">
        <v>13</v>
      </c>
      <c r="D49">
        <v>39</v>
      </c>
      <c r="E49">
        <v>40</v>
      </c>
      <c r="F49">
        <v>1</v>
      </c>
      <c r="G49">
        <v>511</v>
      </c>
      <c r="H49">
        <v>149</v>
      </c>
      <c r="I49">
        <v>11</v>
      </c>
      <c r="J49">
        <v>2</v>
      </c>
      <c r="K49">
        <v>5</v>
      </c>
      <c r="L49">
        <v>0</v>
      </c>
      <c r="M49">
        <v>33</v>
      </c>
      <c r="N49">
        <v>6</v>
      </c>
      <c r="O49">
        <v>5</v>
      </c>
      <c r="P49">
        <v>92</v>
      </c>
      <c r="Q49">
        <v>15</v>
      </c>
      <c r="R49">
        <v>34</v>
      </c>
      <c r="S49">
        <v>1</v>
      </c>
      <c r="T49">
        <v>153</v>
      </c>
      <c r="U49">
        <v>667</v>
      </c>
      <c r="V49">
        <v>812</v>
      </c>
      <c r="W49">
        <v>10</v>
      </c>
      <c r="X49">
        <v>1632</v>
      </c>
      <c r="Y49">
        <v>1011</v>
      </c>
      <c r="Z49">
        <v>0</v>
      </c>
      <c r="AA49">
        <v>2</v>
      </c>
      <c r="AB49">
        <v>1</v>
      </c>
      <c r="AC49">
        <v>16100</v>
      </c>
      <c r="AD49">
        <v>151</v>
      </c>
      <c r="AE49">
        <v>2297</v>
      </c>
      <c r="AG49">
        <v>765</v>
      </c>
      <c r="AH49">
        <v>188</v>
      </c>
      <c r="AI49">
        <v>26306</v>
      </c>
      <c r="AK49">
        <v>8</v>
      </c>
      <c r="AL49">
        <v>467</v>
      </c>
      <c r="AM49">
        <v>1</v>
      </c>
      <c r="AN49">
        <v>70</v>
      </c>
      <c r="AO49">
        <v>44</v>
      </c>
      <c r="AP49" t="s">
        <v>36</v>
      </c>
    </row>
    <row r="50" spans="1:42" x14ac:dyDescent="0.3">
      <c r="A50" t="s">
        <v>21</v>
      </c>
      <c r="B50">
        <v>14</v>
      </c>
      <c r="C50">
        <v>15</v>
      </c>
      <c r="D50">
        <v>45</v>
      </c>
      <c r="E50">
        <v>54</v>
      </c>
      <c r="F50">
        <v>5</v>
      </c>
      <c r="G50">
        <v>544</v>
      </c>
      <c r="H50">
        <v>177</v>
      </c>
      <c r="I50">
        <v>7</v>
      </c>
      <c r="J50">
        <v>5</v>
      </c>
      <c r="K50">
        <v>3</v>
      </c>
      <c r="L50">
        <v>0</v>
      </c>
      <c r="M50">
        <v>39</v>
      </c>
      <c r="N50">
        <v>6</v>
      </c>
      <c r="O50">
        <v>7</v>
      </c>
      <c r="P50">
        <v>85</v>
      </c>
      <c r="Q50">
        <v>13</v>
      </c>
      <c r="R50">
        <v>45</v>
      </c>
      <c r="S50">
        <v>3</v>
      </c>
      <c r="T50">
        <v>122</v>
      </c>
      <c r="U50">
        <v>743</v>
      </c>
      <c r="V50">
        <v>781</v>
      </c>
      <c r="W50">
        <v>7</v>
      </c>
      <c r="X50">
        <v>1511</v>
      </c>
      <c r="Y50">
        <v>886</v>
      </c>
      <c r="Z50">
        <v>2</v>
      </c>
      <c r="AA50">
        <v>4</v>
      </c>
      <c r="AB50">
        <v>3</v>
      </c>
      <c r="AC50">
        <v>15723</v>
      </c>
      <c r="AD50">
        <v>170</v>
      </c>
      <c r="AE50">
        <v>2099</v>
      </c>
      <c r="AG50">
        <v>1005</v>
      </c>
      <c r="AH50">
        <v>221</v>
      </c>
      <c r="AI50">
        <v>26576</v>
      </c>
      <c r="AK50">
        <v>6</v>
      </c>
      <c r="AL50">
        <v>538</v>
      </c>
      <c r="AM50">
        <v>0</v>
      </c>
      <c r="AN50">
        <v>69</v>
      </c>
      <c r="AO50">
        <v>56</v>
      </c>
      <c r="AP50" t="s">
        <v>36</v>
      </c>
    </row>
    <row r="51" spans="1:42" x14ac:dyDescent="0.3">
      <c r="A51" t="s">
        <v>18</v>
      </c>
      <c r="B51">
        <v>14</v>
      </c>
      <c r="C51">
        <v>15</v>
      </c>
      <c r="D51">
        <v>42</v>
      </c>
      <c r="E51">
        <v>66</v>
      </c>
      <c r="F51">
        <v>4</v>
      </c>
      <c r="G51">
        <v>515</v>
      </c>
      <c r="H51">
        <v>167</v>
      </c>
      <c r="I51">
        <v>12</v>
      </c>
      <c r="J51">
        <v>4</v>
      </c>
      <c r="K51">
        <v>1</v>
      </c>
      <c r="L51">
        <v>1</v>
      </c>
      <c r="M51">
        <v>37</v>
      </c>
      <c r="N51">
        <v>5</v>
      </c>
      <c r="O51">
        <v>4</v>
      </c>
      <c r="P51">
        <v>130</v>
      </c>
      <c r="Q51">
        <v>10</v>
      </c>
      <c r="R51">
        <v>45</v>
      </c>
      <c r="S51">
        <v>3</v>
      </c>
      <c r="T51">
        <v>190</v>
      </c>
      <c r="U51">
        <v>606</v>
      </c>
      <c r="V51">
        <v>896</v>
      </c>
      <c r="W51">
        <v>13</v>
      </c>
      <c r="X51">
        <v>1601</v>
      </c>
      <c r="Y51">
        <v>867</v>
      </c>
      <c r="Z51">
        <v>2</v>
      </c>
      <c r="AA51">
        <v>6</v>
      </c>
      <c r="AB51">
        <v>3</v>
      </c>
      <c r="AC51">
        <v>15316</v>
      </c>
      <c r="AD51">
        <v>220</v>
      </c>
      <c r="AE51">
        <v>1901</v>
      </c>
      <c r="AG51">
        <v>720</v>
      </c>
      <c r="AH51">
        <v>189</v>
      </c>
      <c r="AI51">
        <v>25662</v>
      </c>
      <c r="AK51">
        <v>7</v>
      </c>
      <c r="AL51">
        <v>601</v>
      </c>
      <c r="AM51">
        <v>2</v>
      </c>
      <c r="AN51">
        <v>65</v>
      </c>
      <c r="AO51">
        <v>37</v>
      </c>
      <c r="AP51" t="s">
        <v>36</v>
      </c>
    </row>
    <row r="52" spans="1:42" x14ac:dyDescent="0.3">
      <c r="A52" t="s">
        <v>37</v>
      </c>
      <c r="B52">
        <v>12</v>
      </c>
      <c r="C52">
        <v>17</v>
      </c>
      <c r="D52">
        <v>38</v>
      </c>
      <c r="E52">
        <v>73</v>
      </c>
      <c r="F52">
        <v>5</v>
      </c>
      <c r="G52">
        <v>364</v>
      </c>
      <c r="H52">
        <v>100</v>
      </c>
      <c r="I52">
        <v>11</v>
      </c>
      <c r="J52">
        <v>14</v>
      </c>
      <c r="K52">
        <v>5</v>
      </c>
      <c r="L52">
        <v>0</v>
      </c>
      <c r="M52">
        <v>35</v>
      </c>
      <c r="N52">
        <v>3</v>
      </c>
      <c r="O52">
        <v>1</v>
      </c>
      <c r="P52">
        <v>65</v>
      </c>
      <c r="Q52">
        <v>12</v>
      </c>
      <c r="R52">
        <v>55</v>
      </c>
      <c r="S52">
        <v>3</v>
      </c>
      <c r="T52">
        <v>169</v>
      </c>
      <c r="U52">
        <v>574</v>
      </c>
      <c r="V52">
        <v>688</v>
      </c>
      <c r="W52">
        <v>11</v>
      </c>
      <c r="X52">
        <v>1555</v>
      </c>
      <c r="Y52">
        <v>926</v>
      </c>
      <c r="Z52">
        <v>2</v>
      </c>
      <c r="AA52">
        <v>3</v>
      </c>
      <c r="AB52">
        <v>2</v>
      </c>
      <c r="AC52">
        <v>9478</v>
      </c>
      <c r="AD52">
        <v>66</v>
      </c>
      <c r="AE52">
        <v>2171</v>
      </c>
      <c r="AG52">
        <v>697</v>
      </c>
      <c r="AH52">
        <v>174</v>
      </c>
      <c r="AI52">
        <v>18693</v>
      </c>
      <c r="AK52">
        <v>7</v>
      </c>
      <c r="AL52">
        <v>438</v>
      </c>
      <c r="AM52">
        <v>0</v>
      </c>
      <c r="AN52">
        <v>85</v>
      </c>
      <c r="AO52">
        <v>41</v>
      </c>
      <c r="AP52" t="s">
        <v>36</v>
      </c>
    </row>
    <row r="53" spans="1:42" x14ac:dyDescent="0.3">
      <c r="A53" t="s">
        <v>11</v>
      </c>
      <c r="B53">
        <v>12</v>
      </c>
      <c r="C53">
        <v>17</v>
      </c>
      <c r="D53">
        <v>34</v>
      </c>
      <c r="E53">
        <v>59</v>
      </c>
      <c r="F53">
        <v>4</v>
      </c>
      <c r="G53">
        <v>590</v>
      </c>
      <c r="H53">
        <v>163</v>
      </c>
      <c r="I53">
        <v>10</v>
      </c>
      <c r="J53">
        <v>3</v>
      </c>
      <c r="K53">
        <v>5</v>
      </c>
      <c r="L53">
        <v>2</v>
      </c>
      <c r="M53">
        <v>29</v>
      </c>
      <c r="N53">
        <v>5</v>
      </c>
      <c r="O53">
        <v>2</v>
      </c>
      <c r="P53">
        <v>101</v>
      </c>
      <c r="Q53">
        <v>13</v>
      </c>
      <c r="R53">
        <v>45</v>
      </c>
      <c r="S53">
        <v>2</v>
      </c>
      <c r="T53">
        <v>110</v>
      </c>
      <c r="U53">
        <v>685</v>
      </c>
      <c r="V53">
        <v>934</v>
      </c>
      <c r="W53">
        <v>12</v>
      </c>
      <c r="X53">
        <v>1636</v>
      </c>
      <c r="Y53">
        <v>927</v>
      </c>
      <c r="Z53">
        <v>1</v>
      </c>
      <c r="AA53">
        <v>3</v>
      </c>
      <c r="AB53">
        <v>2</v>
      </c>
      <c r="AC53">
        <v>12319</v>
      </c>
      <c r="AD53">
        <v>139</v>
      </c>
      <c r="AE53">
        <v>2226</v>
      </c>
      <c r="AG53">
        <v>943</v>
      </c>
      <c r="AH53">
        <v>210</v>
      </c>
      <c r="AI53">
        <v>23071</v>
      </c>
      <c r="AK53">
        <v>10</v>
      </c>
      <c r="AL53">
        <v>445</v>
      </c>
      <c r="AM53">
        <v>1</v>
      </c>
      <c r="AN53">
        <v>38</v>
      </c>
      <c r="AO53">
        <v>20</v>
      </c>
      <c r="AP53" t="s">
        <v>36</v>
      </c>
    </row>
    <row r="54" spans="1:42" x14ac:dyDescent="0.3">
      <c r="A54" t="s">
        <v>20</v>
      </c>
      <c r="B54">
        <v>11</v>
      </c>
      <c r="C54">
        <v>19</v>
      </c>
      <c r="D54">
        <v>41</v>
      </c>
      <c r="E54">
        <v>62</v>
      </c>
      <c r="F54">
        <v>1</v>
      </c>
      <c r="G54">
        <v>488</v>
      </c>
      <c r="H54">
        <v>154</v>
      </c>
      <c r="I54">
        <v>7</v>
      </c>
      <c r="J54">
        <v>10</v>
      </c>
      <c r="K54">
        <v>0</v>
      </c>
      <c r="L54">
        <v>3</v>
      </c>
      <c r="M54">
        <v>35</v>
      </c>
      <c r="N54">
        <v>6</v>
      </c>
      <c r="O54">
        <v>2</v>
      </c>
      <c r="P54">
        <v>71</v>
      </c>
      <c r="Q54">
        <v>7</v>
      </c>
      <c r="R54">
        <v>53</v>
      </c>
      <c r="S54">
        <v>2</v>
      </c>
      <c r="T54">
        <v>183</v>
      </c>
      <c r="U54">
        <v>555</v>
      </c>
      <c r="V54">
        <v>890</v>
      </c>
      <c r="W54">
        <v>14</v>
      </c>
      <c r="X54">
        <v>1880</v>
      </c>
      <c r="Y54">
        <v>1023</v>
      </c>
      <c r="Z54">
        <v>2</v>
      </c>
      <c r="AA54">
        <v>7</v>
      </c>
      <c r="AB54">
        <v>6</v>
      </c>
      <c r="AC54">
        <v>10649</v>
      </c>
      <c r="AD54">
        <v>81</v>
      </c>
      <c r="AE54">
        <v>2078</v>
      </c>
      <c r="AG54">
        <v>853</v>
      </c>
      <c r="AH54">
        <v>201</v>
      </c>
      <c r="AI54">
        <v>20876</v>
      </c>
      <c r="AK54">
        <v>5</v>
      </c>
      <c r="AL54">
        <v>448</v>
      </c>
      <c r="AM54">
        <v>1</v>
      </c>
      <c r="AN54">
        <v>42</v>
      </c>
      <c r="AO54">
        <v>28</v>
      </c>
      <c r="AP54" t="s">
        <v>36</v>
      </c>
    </row>
    <row r="55" spans="1:42" x14ac:dyDescent="0.3">
      <c r="A55" t="s">
        <v>13</v>
      </c>
      <c r="B55">
        <v>10</v>
      </c>
      <c r="C55">
        <v>17</v>
      </c>
      <c r="D55">
        <v>40</v>
      </c>
      <c r="E55">
        <v>74</v>
      </c>
      <c r="F55">
        <v>4</v>
      </c>
      <c r="G55">
        <v>473</v>
      </c>
      <c r="H55">
        <v>148</v>
      </c>
      <c r="I55">
        <v>13</v>
      </c>
      <c r="J55">
        <v>9</v>
      </c>
      <c r="K55">
        <v>4</v>
      </c>
      <c r="L55">
        <v>1</v>
      </c>
      <c r="M55">
        <v>35</v>
      </c>
      <c r="N55">
        <v>5</v>
      </c>
      <c r="O55">
        <v>0</v>
      </c>
      <c r="P55">
        <v>119</v>
      </c>
      <c r="Q55">
        <v>10</v>
      </c>
      <c r="R55">
        <v>60</v>
      </c>
      <c r="S55">
        <v>4</v>
      </c>
      <c r="T55">
        <v>119</v>
      </c>
      <c r="U55">
        <v>557</v>
      </c>
      <c r="V55">
        <v>824</v>
      </c>
      <c r="W55">
        <v>14</v>
      </c>
      <c r="X55">
        <v>1649</v>
      </c>
      <c r="Y55">
        <v>900</v>
      </c>
      <c r="Z55">
        <v>2</v>
      </c>
      <c r="AA55">
        <v>6</v>
      </c>
      <c r="AB55">
        <v>5</v>
      </c>
      <c r="AC55">
        <v>13436</v>
      </c>
      <c r="AD55">
        <v>111</v>
      </c>
      <c r="AE55">
        <v>2307</v>
      </c>
      <c r="AG55">
        <v>865</v>
      </c>
      <c r="AH55">
        <v>199</v>
      </c>
      <c r="AI55">
        <v>23450</v>
      </c>
      <c r="AK55">
        <v>9</v>
      </c>
      <c r="AL55">
        <v>372</v>
      </c>
      <c r="AM55">
        <v>0</v>
      </c>
      <c r="AN55">
        <v>48</v>
      </c>
      <c r="AO55">
        <v>36</v>
      </c>
      <c r="AP55" t="s">
        <v>36</v>
      </c>
    </row>
    <row r="56" spans="1:42" x14ac:dyDescent="0.3">
      <c r="A56" t="s">
        <v>12</v>
      </c>
      <c r="B56">
        <v>10</v>
      </c>
      <c r="C56">
        <v>17</v>
      </c>
      <c r="D56">
        <v>38</v>
      </c>
      <c r="E56">
        <v>58</v>
      </c>
      <c r="F56">
        <v>5</v>
      </c>
      <c r="G56">
        <v>500</v>
      </c>
      <c r="H56">
        <v>152</v>
      </c>
      <c r="I56">
        <v>19</v>
      </c>
      <c r="J56">
        <v>10</v>
      </c>
      <c r="K56">
        <v>2</v>
      </c>
      <c r="L56">
        <v>1</v>
      </c>
      <c r="M56">
        <v>32</v>
      </c>
      <c r="N56">
        <v>6</v>
      </c>
      <c r="O56">
        <v>2</v>
      </c>
      <c r="P56">
        <v>81</v>
      </c>
      <c r="Q56">
        <v>8</v>
      </c>
      <c r="R56">
        <v>57</v>
      </c>
      <c r="S56">
        <v>5</v>
      </c>
      <c r="T56">
        <v>113</v>
      </c>
      <c r="U56">
        <v>653</v>
      </c>
      <c r="V56">
        <v>922</v>
      </c>
      <c r="W56">
        <v>17</v>
      </c>
      <c r="X56">
        <v>1552</v>
      </c>
      <c r="Y56">
        <v>892</v>
      </c>
      <c r="Z56">
        <v>0</v>
      </c>
      <c r="AA56">
        <v>7</v>
      </c>
      <c r="AB56">
        <v>6</v>
      </c>
      <c r="AC56">
        <v>14497</v>
      </c>
      <c r="AD56">
        <v>142</v>
      </c>
      <c r="AE56">
        <v>2379</v>
      </c>
      <c r="AG56">
        <v>852</v>
      </c>
      <c r="AH56">
        <v>194</v>
      </c>
      <c r="AI56">
        <v>25414</v>
      </c>
      <c r="AK56">
        <v>9</v>
      </c>
      <c r="AL56">
        <v>601</v>
      </c>
      <c r="AM56">
        <v>1</v>
      </c>
      <c r="AN56">
        <v>79</v>
      </c>
      <c r="AO56">
        <v>26</v>
      </c>
      <c r="AP56" t="s">
        <v>36</v>
      </c>
    </row>
    <row r="57" spans="1:42" x14ac:dyDescent="0.3">
      <c r="A57" t="s">
        <v>29</v>
      </c>
      <c r="B57">
        <v>9</v>
      </c>
      <c r="C57">
        <v>20</v>
      </c>
      <c r="D57">
        <v>34</v>
      </c>
      <c r="E57">
        <v>69</v>
      </c>
      <c r="F57">
        <v>1</v>
      </c>
      <c r="G57">
        <v>473</v>
      </c>
      <c r="H57">
        <v>144</v>
      </c>
      <c r="I57">
        <v>10</v>
      </c>
      <c r="J57">
        <v>8</v>
      </c>
      <c r="K57">
        <v>1</v>
      </c>
      <c r="L57">
        <v>1</v>
      </c>
      <c r="M57">
        <v>27</v>
      </c>
      <c r="N57">
        <v>7</v>
      </c>
      <c r="O57">
        <v>4</v>
      </c>
      <c r="P57">
        <v>96</v>
      </c>
      <c r="Q57">
        <v>9</v>
      </c>
      <c r="R57">
        <v>54</v>
      </c>
      <c r="S57">
        <v>1</v>
      </c>
      <c r="T57">
        <v>173</v>
      </c>
      <c r="U57">
        <v>609</v>
      </c>
      <c r="V57">
        <v>888</v>
      </c>
      <c r="W57">
        <v>6</v>
      </c>
      <c r="X57">
        <v>1596</v>
      </c>
      <c r="Y57">
        <v>978</v>
      </c>
      <c r="Z57">
        <v>2</v>
      </c>
      <c r="AA57">
        <v>5</v>
      </c>
      <c r="AB57">
        <v>3</v>
      </c>
      <c r="AC57">
        <v>14144</v>
      </c>
      <c r="AD57">
        <v>122</v>
      </c>
      <c r="AE57">
        <v>2126</v>
      </c>
      <c r="AG57">
        <v>985</v>
      </c>
      <c r="AH57">
        <v>172</v>
      </c>
      <c r="AI57">
        <v>24442</v>
      </c>
      <c r="AK57">
        <v>4</v>
      </c>
      <c r="AL57">
        <v>491</v>
      </c>
      <c r="AM57">
        <v>1</v>
      </c>
      <c r="AN57">
        <v>58</v>
      </c>
      <c r="AO57">
        <v>27</v>
      </c>
      <c r="AP57" t="s">
        <v>36</v>
      </c>
    </row>
    <row r="58" spans="1:42" x14ac:dyDescent="0.3">
      <c r="A58" t="s">
        <v>38</v>
      </c>
      <c r="B58">
        <v>8</v>
      </c>
      <c r="C58">
        <v>19</v>
      </c>
      <c r="D58">
        <v>39</v>
      </c>
      <c r="E58">
        <v>71</v>
      </c>
      <c r="F58">
        <v>3</v>
      </c>
      <c r="G58">
        <v>476</v>
      </c>
      <c r="H58">
        <v>149</v>
      </c>
      <c r="I58">
        <v>9</v>
      </c>
      <c r="J58">
        <v>13</v>
      </c>
      <c r="K58">
        <v>3</v>
      </c>
      <c r="L58">
        <v>3</v>
      </c>
      <c r="M58">
        <v>33</v>
      </c>
      <c r="N58">
        <v>6</v>
      </c>
      <c r="O58">
        <v>5</v>
      </c>
      <c r="P58">
        <v>141</v>
      </c>
      <c r="Q58">
        <v>6</v>
      </c>
      <c r="R58">
        <v>64</v>
      </c>
      <c r="S58">
        <v>2</v>
      </c>
      <c r="T58">
        <v>160</v>
      </c>
      <c r="U58">
        <v>624</v>
      </c>
      <c r="V58">
        <v>811</v>
      </c>
      <c r="W58">
        <v>15</v>
      </c>
      <c r="X58">
        <v>1677</v>
      </c>
      <c r="Y58">
        <v>967</v>
      </c>
      <c r="Z58">
        <v>4</v>
      </c>
      <c r="AA58">
        <v>3</v>
      </c>
      <c r="AB58">
        <v>2</v>
      </c>
      <c r="AC58">
        <v>11809</v>
      </c>
      <c r="AD58">
        <v>83</v>
      </c>
      <c r="AE58">
        <v>2363</v>
      </c>
      <c r="AG58">
        <v>930</v>
      </c>
      <c r="AH58">
        <v>186</v>
      </c>
      <c r="AI58">
        <v>21712</v>
      </c>
      <c r="AK58">
        <v>4</v>
      </c>
      <c r="AL58">
        <v>490</v>
      </c>
      <c r="AM58">
        <v>1</v>
      </c>
      <c r="AN58">
        <v>56</v>
      </c>
      <c r="AO58">
        <v>22</v>
      </c>
      <c r="AP58" t="s">
        <v>36</v>
      </c>
    </row>
    <row r="59" spans="1:42" x14ac:dyDescent="0.3">
      <c r="A59" t="s">
        <v>35</v>
      </c>
      <c r="B59">
        <v>8</v>
      </c>
      <c r="C59">
        <v>22</v>
      </c>
      <c r="D59">
        <v>36</v>
      </c>
      <c r="E59">
        <v>67</v>
      </c>
      <c r="F59">
        <v>1</v>
      </c>
      <c r="G59">
        <v>559</v>
      </c>
      <c r="H59">
        <v>165</v>
      </c>
      <c r="I59">
        <v>16</v>
      </c>
      <c r="J59">
        <v>4</v>
      </c>
      <c r="K59">
        <v>3</v>
      </c>
      <c r="L59">
        <v>3</v>
      </c>
      <c r="M59">
        <v>31</v>
      </c>
      <c r="N59">
        <v>5</v>
      </c>
      <c r="O59">
        <v>5</v>
      </c>
      <c r="P59">
        <v>101</v>
      </c>
      <c r="Q59">
        <v>8</v>
      </c>
      <c r="R59">
        <v>67</v>
      </c>
      <c r="S59">
        <v>2</v>
      </c>
      <c r="T59">
        <v>136</v>
      </c>
      <c r="U59">
        <v>591</v>
      </c>
      <c r="V59">
        <v>803</v>
      </c>
      <c r="W59">
        <v>14</v>
      </c>
      <c r="X59">
        <v>1477</v>
      </c>
      <c r="Y59">
        <v>776</v>
      </c>
      <c r="Z59">
        <v>0</v>
      </c>
      <c r="AA59">
        <v>4</v>
      </c>
      <c r="AB59">
        <v>4</v>
      </c>
      <c r="AC59">
        <v>14518</v>
      </c>
      <c r="AD59">
        <v>178</v>
      </c>
      <c r="AE59">
        <v>2311</v>
      </c>
      <c r="AG59">
        <v>962</v>
      </c>
      <c r="AH59">
        <v>226</v>
      </c>
      <c r="AI59">
        <v>24904</v>
      </c>
      <c r="AK59">
        <v>5</v>
      </c>
      <c r="AL59">
        <v>581</v>
      </c>
      <c r="AM59">
        <v>0</v>
      </c>
      <c r="AN59">
        <v>60</v>
      </c>
      <c r="AO59">
        <v>24</v>
      </c>
      <c r="AP59" t="s">
        <v>36</v>
      </c>
    </row>
    <row r="60" spans="1:42" x14ac:dyDescent="0.3">
      <c r="A60" t="s">
        <v>17</v>
      </c>
      <c r="B60">
        <v>7</v>
      </c>
      <c r="C60">
        <v>20</v>
      </c>
      <c r="D60">
        <v>28</v>
      </c>
      <c r="E60">
        <v>55</v>
      </c>
      <c r="F60">
        <v>3</v>
      </c>
      <c r="G60">
        <v>498</v>
      </c>
      <c r="H60">
        <v>140</v>
      </c>
      <c r="I60">
        <v>7</v>
      </c>
      <c r="J60">
        <v>1</v>
      </c>
      <c r="K60">
        <v>1</v>
      </c>
      <c r="L60">
        <v>2</v>
      </c>
      <c r="M60">
        <v>25</v>
      </c>
      <c r="N60">
        <v>3</v>
      </c>
      <c r="O60">
        <v>0</v>
      </c>
      <c r="P60">
        <v>121</v>
      </c>
      <c r="Q60">
        <v>7</v>
      </c>
      <c r="R60">
        <v>57</v>
      </c>
      <c r="S60">
        <v>6</v>
      </c>
      <c r="T60">
        <v>144</v>
      </c>
      <c r="U60">
        <v>607</v>
      </c>
      <c r="V60">
        <v>784</v>
      </c>
      <c r="W60">
        <v>23</v>
      </c>
      <c r="X60">
        <v>1582</v>
      </c>
      <c r="Y60">
        <v>846</v>
      </c>
      <c r="Z60">
        <v>6</v>
      </c>
      <c r="AA60">
        <v>2</v>
      </c>
      <c r="AB60">
        <v>2</v>
      </c>
      <c r="AC60">
        <v>13124</v>
      </c>
      <c r="AD60">
        <v>124</v>
      </c>
      <c r="AE60">
        <v>2130</v>
      </c>
      <c r="AG60">
        <v>983</v>
      </c>
      <c r="AH60">
        <v>172</v>
      </c>
      <c r="AI60">
        <v>23322</v>
      </c>
      <c r="AK60">
        <v>5</v>
      </c>
      <c r="AL60">
        <v>540</v>
      </c>
      <c r="AM60">
        <v>0</v>
      </c>
      <c r="AN60">
        <v>85</v>
      </c>
      <c r="AO60">
        <v>18</v>
      </c>
      <c r="AP60" t="s">
        <v>36</v>
      </c>
    </row>
    <row r="61" spans="1:42" x14ac:dyDescent="0.3">
      <c r="A61" t="s">
        <v>10</v>
      </c>
      <c r="B61">
        <v>7</v>
      </c>
      <c r="C61">
        <v>18</v>
      </c>
      <c r="D61">
        <v>40</v>
      </c>
      <c r="E61">
        <v>57</v>
      </c>
      <c r="F61">
        <v>8</v>
      </c>
      <c r="G61">
        <v>444</v>
      </c>
      <c r="H61">
        <v>125</v>
      </c>
      <c r="I61">
        <v>12</v>
      </c>
      <c r="J61">
        <v>10</v>
      </c>
      <c r="K61">
        <v>4</v>
      </c>
      <c r="L61">
        <v>0</v>
      </c>
      <c r="M61">
        <v>38</v>
      </c>
      <c r="N61">
        <v>2</v>
      </c>
      <c r="O61">
        <v>2</v>
      </c>
      <c r="P61">
        <v>73</v>
      </c>
      <c r="Q61">
        <v>7</v>
      </c>
      <c r="R61">
        <v>59</v>
      </c>
      <c r="S61">
        <v>3</v>
      </c>
      <c r="T61">
        <v>142</v>
      </c>
      <c r="U61">
        <v>591</v>
      </c>
      <c r="V61">
        <v>735</v>
      </c>
      <c r="W61">
        <v>22</v>
      </c>
      <c r="X61">
        <v>1278</v>
      </c>
      <c r="Y61">
        <v>693</v>
      </c>
      <c r="Z61">
        <v>2</v>
      </c>
      <c r="AA61">
        <v>9</v>
      </c>
      <c r="AB61">
        <v>8</v>
      </c>
      <c r="AC61">
        <v>14172</v>
      </c>
      <c r="AD61">
        <v>148</v>
      </c>
      <c r="AE61">
        <v>2300</v>
      </c>
      <c r="AG61">
        <v>895</v>
      </c>
      <c r="AH61">
        <v>165</v>
      </c>
      <c r="AI61">
        <v>24327</v>
      </c>
      <c r="AK61">
        <v>5</v>
      </c>
      <c r="AL61">
        <v>659</v>
      </c>
      <c r="AM61">
        <v>1</v>
      </c>
      <c r="AN61">
        <v>40</v>
      </c>
      <c r="AO61">
        <v>24</v>
      </c>
      <c r="AP61" t="s">
        <v>36</v>
      </c>
    </row>
    <row r="62" spans="1:42" x14ac:dyDescent="0.3">
      <c r="A62" t="s">
        <v>25</v>
      </c>
      <c r="B62">
        <v>27</v>
      </c>
      <c r="C62">
        <v>6</v>
      </c>
      <c r="D62">
        <v>103</v>
      </c>
      <c r="E62">
        <v>54</v>
      </c>
      <c r="F62">
        <v>5</v>
      </c>
      <c r="G62">
        <v>834</v>
      </c>
      <c r="H62">
        <v>288</v>
      </c>
      <c r="I62">
        <v>13</v>
      </c>
      <c r="J62">
        <v>16</v>
      </c>
      <c r="K62">
        <v>11</v>
      </c>
      <c r="L62">
        <v>3</v>
      </c>
      <c r="M62">
        <v>94</v>
      </c>
      <c r="N62">
        <v>9</v>
      </c>
      <c r="O62">
        <v>8</v>
      </c>
      <c r="P62">
        <v>96</v>
      </c>
      <c r="Q62">
        <v>18</v>
      </c>
      <c r="R62">
        <v>32</v>
      </c>
      <c r="S62">
        <v>0</v>
      </c>
      <c r="T62">
        <v>103</v>
      </c>
      <c r="U62">
        <v>705</v>
      </c>
      <c r="V62">
        <v>772</v>
      </c>
      <c r="W62">
        <v>10</v>
      </c>
      <c r="X62">
        <v>1055</v>
      </c>
      <c r="Y62">
        <v>560</v>
      </c>
      <c r="Z62">
        <v>1</v>
      </c>
      <c r="AA62">
        <v>5</v>
      </c>
      <c r="AB62">
        <v>4</v>
      </c>
      <c r="AC62">
        <v>18852</v>
      </c>
      <c r="AD62">
        <v>268</v>
      </c>
      <c r="AE62">
        <v>2071</v>
      </c>
      <c r="AG62">
        <v>1083</v>
      </c>
      <c r="AH62">
        <v>286</v>
      </c>
      <c r="AI62">
        <v>28914</v>
      </c>
      <c r="AK62">
        <v>3</v>
      </c>
      <c r="AL62">
        <v>503</v>
      </c>
      <c r="AM62">
        <v>1</v>
      </c>
      <c r="AN62">
        <v>87</v>
      </c>
      <c r="AO62">
        <v>30</v>
      </c>
      <c r="AP62" t="s">
        <v>39</v>
      </c>
    </row>
    <row r="63" spans="1:42" x14ac:dyDescent="0.3">
      <c r="A63" t="s">
        <v>22</v>
      </c>
      <c r="B63">
        <v>27</v>
      </c>
      <c r="C63">
        <v>7</v>
      </c>
      <c r="D63">
        <v>86</v>
      </c>
      <c r="E63">
        <v>49</v>
      </c>
      <c r="F63">
        <v>4</v>
      </c>
      <c r="G63">
        <v>695</v>
      </c>
      <c r="H63">
        <v>221</v>
      </c>
      <c r="I63">
        <v>12</v>
      </c>
      <c r="J63">
        <v>14</v>
      </c>
      <c r="K63">
        <v>6</v>
      </c>
      <c r="L63">
        <v>3</v>
      </c>
      <c r="M63">
        <v>77</v>
      </c>
      <c r="N63">
        <v>9</v>
      </c>
      <c r="O63">
        <v>6</v>
      </c>
      <c r="P63">
        <v>85</v>
      </c>
      <c r="Q63">
        <v>19</v>
      </c>
      <c r="R63">
        <v>28</v>
      </c>
      <c r="S63">
        <v>0</v>
      </c>
      <c r="T63">
        <v>100</v>
      </c>
      <c r="U63">
        <v>602</v>
      </c>
      <c r="V63">
        <v>828</v>
      </c>
      <c r="W63">
        <v>13</v>
      </c>
      <c r="X63">
        <v>983</v>
      </c>
      <c r="Y63">
        <v>584</v>
      </c>
      <c r="Z63">
        <v>0</v>
      </c>
      <c r="AA63">
        <v>2</v>
      </c>
      <c r="AB63">
        <v>2</v>
      </c>
      <c r="AC63">
        <v>19318</v>
      </c>
      <c r="AD63">
        <v>243</v>
      </c>
      <c r="AE63">
        <v>2205</v>
      </c>
      <c r="AG63">
        <v>1156</v>
      </c>
      <c r="AH63">
        <v>297</v>
      </c>
      <c r="AI63">
        <v>28968</v>
      </c>
      <c r="AK63">
        <v>2</v>
      </c>
      <c r="AL63">
        <v>622</v>
      </c>
      <c r="AM63">
        <v>0</v>
      </c>
      <c r="AN63">
        <v>65</v>
      </c>
      <c r="AO63">
        <v>18</v>
      </c>
      <c r="AP63" t="s">
        <v>39</v>
      </c>
    </row>
    <row r="64" spans="1:42" x14ac:dyDescent="0.3">
      <c r="A64" t="s">
        <v>5</v>
      </c>
      <c r="B64">
        <v>23</v>
      </c>
      <c r="C64">
        <v>9</v>
      </c>
      <c r="D64">
        <v>83</v>
      </c>
      <c r="E64">
        <v>56</v>
      </c>
      <c r="F64">
        <v>1</v>
      </c>
      <c r="G64">
        <v>660</v>
      </c>
      <c r="H64">
        <v>233</v>
      </c>
      <c r="I64">
        <v>15</v>
      </c>
      <c r="J64">
        <v>11</v>
      </c>
      <c r="K64">
        <v>3</v>
      </c>
      <c r="L64">
        <v>2</v>
      </c>
      <c r="M64">
        <v>65</v>
      </c>
      <c r="N64">
        <v>18</v>
      </c>
      <c r="O64">
        <v>9</v>
      </c>
      <c r="P64">
        <v>93</v>
      </c>
      <c r="Q64">
        <v>14</v>
      </c>
      <c r="R64">
        <v>41</v>
      </c>
      <c r="S64">
        <v>3</v>
      </c>
      <c r="T64">
        <v>89</v>
      </c>
      <c r="U64">
        <v>839</v>
      </c>
      <c r="V64">
        <v>818</v>
      </c>
      <c r="W64">
        <v>26</v>
      </c>
      <c r="X64">
        <v>1091</v>
      </c>
      <c r="Y64">
        <v>640</v>
      </c>
      <c r="Z64">
        <v>2</v>
      </c>
      <c r="AA64">
        <v>7</v>
      </c>
      <c r="AB64">
        <v>5</v>
      </c>
      <c r="AC64">
        <v>19291</v>
      </c>
      <c r="AD64">
        <v>334</v>
      </c>
      <c r="AE64">
        <v>1837</v>
      </c>
      <c r="AG64">
        <v>1023</v>
      </c>
      <c r="AH64">
        <v>257</v>
      </c>
      <c r="AI64">
        <v>29807</v>
      </c>
      <c r="AK64">
        <v>3</v>
      </c>
      <c r="AL64">
        <v>713</v>
      </c>
      <c r="AM64">
        <v>2</v>
      </c>
      <c r="AN64">
        <v>75</v>
      </c>
      <c r="AO64">
        <v>24</v>
      </c>
      <c r="AP64" t="s">
        <v>39</v>
      </c>
    </row>
    <row r="65" spans="1:42" x14ac:dyDescent="0.3">
      <c r="A65" t="s">
        <v>21</v>
      </c>
      <c r="B65">
        <v>21</v>
      </c>
      <c r="C65">
        <v>10</v>
      </c>
      <c r="D65">
        <v>67</v>
      </c>
      <c r="E65">
        <v>58</v>
      </c>
      <c r="F65">
        <v>1</v>
      </c>
      <c r="G65">
        <v>681</v>
      </c>
      <c r="H65">
        <v>226</v>
      </c>
      <c r="I65">
        <v>13</v>
      </c>
      <c r="J65">
        <v>12</v>
      </c>
      <c r="K65">
        <v>2</v>
      </c>
      <c r="L65">
        <v>2</v>
      </c>
      <c r="M65">
        <v>59</v>
      </c>
      <c r="N65">
        <v>8</v>
      </c>
      <c r="O65">
        <v>6</v>
      </c>
      <c r="P65">
        <v>117</v>
      </c>
      <c r="Q65">
        <v>13</v>
      </c>
      <c r="R65">
        <v>41</v>
      </c>
      <c r="S65">
        <v>4</v>
      </c>
      <c r="T65">
        <v>129</v>
      </c>
      <c r="U65">
        <v>804</v>
      </c>
      <c r="V65">
        <v>844</v>
      </c>
      <c r="W65">
        <v>10</v>
      </c>
      <c r="X65">
        <v>1360</v>
      </c>
      <c r="Y65">
        <v>729</v>
      </c>
      <c r="Z65">
        <v>0</v>
      </c>
      <c r="AA65">
        <v>9</v>
      </c>
      <c r="AB65">
        <v>6</v>
      </c>
      <c r="AC65">
        <v>15474</v>
      </c>
      <c r="AD65">
        <v>122</v>
      </c>
      <c r="AE65">
        <v>2535</v>
      </c>
      <c r="AG65">
        <v>912</v>
      </c>
      <c r="AH65">
        <v>241</v>
      </c>
      <c r="AI65">
        <v>25855</v>
      </c>
      <c r="AK65">
        <v>6</v>
      </c>
      <c r="AL65">
        <v>516</v>
      </c>
      <c r="AM65">
        <v>3</v>
      </c>
      <c r="AN65">
        <v>93</v>
      </c>
      <c r="AO65">
        <v>48</v>
      </c>
      <c r="AP65" t="s">
        <v>39</v>
      </c>
    </row>
    <row r="66" spans="1:42" x14ac:dyDescent="0.3">
      <c r="A66" t="s">
        <v>2</v>
      </c>
      <c r="B66">
        <v>18</v>
      </c>
      <c r="C66">
        <v>11</v>
      </c>
      <c r="D66">
        <v>61</v>
      </c>
      <c r="E66">
        <v>55</v>
      </c>
      <c r="F66">
        <v>5</v>
      </c>
      <c r="G66">
        <v>642</v>
      </c>
      <c r="H66">
        <v>189</v>
      </c>
      <c r="I66">
        <v>20</v>
      </c>
      <c r="J66">
        <v>6</v>
      </c>
      <c r="K66">
        <v>3</v>
      </c>
      <c r="L66">
        <v>0</v>
      </c>
      <c r="M66">
        <v>53</v>
      </c>
      <c r="N66">
        <v>8</v>
      </c>
      <c r="O66">
        <v>4</v>
      </c>
      <c r="P66">
        <v>62</v>
      </c>
      <c r="Q66">
        <v>17</v>
      </c>
      <c r="R66">
        <v>35</v>
      </c>
      <c r="S66">
        <v>0</v>
      </c>
      <c r="T66">
        <v>81</v>
      </c>
      <c r="U66">
        <v>763</v>
      </c>
      <c r="V66">
        <v>958</v>
      </c>
      <c r="W66">
        <v>6</v>
      </c>
      <c r="X66">
        <v>1094</v>
      </c>
      <c r="Y66">
        <v>603</v>
      </c>
      <c r="Z66">
        <v>2</v>
      </c>
      <c r="AA66">
        <v>4</v>
      </c>
      <c r="AB66">
        <v>3</v>
      </c>
      <c r="AC66">
        <v>18575</v>
      </c>
      <c r="AD66">
        <v>142</v>
      </c>
      <c r="AE66">
        <v>2454</v>
      </c>
      <c r="AG66">
        <v>1017</v>
      </c>
      <c r="AH66">
        <v>268</v>
      </c>
      <c r="AI66">
        <v>28704</v>
      </c>
      <c r="AK66">
        <v>1</v>
      </c>
      <c r="AL66">
        <v>489</v>
      </c>
      <c r="AM66">
        <v>1</v>
      </c>
      <c r="AN66">
        <v>52</v>
      </c>
      <c r="AO66">
        <v>28</v>
      </c>
      <c r="AP66" t="s">
        <v>39</v>
      </c>
    </row>
    <row r="67" spans="1:42" x14ac:dyDescent="0.3">
      <c r="A67" t="s">
        <v>26</v>
      </c>
      <c r="B67">
        <v>18</v>
      </c>
      <c r="C67">
        <v>7</v>
      </c>
      <c r="D67">
        <v>73</v>
      </c>
      <c r="E67">
        <v>49</v>
      </c>
      <c r="F67">
        <v>2</v>
      </c>
      <c r="G67">
        <v>526</v>
      </c>
      <c r="H67">
        <v>195</v>
      </c>
      <c r="I67">
        <v>9</v>
      </c>
      <c r="J67">
        <v>9</v>
      </c>
      <c r="K67">
        <v>5</v>
      </c>
      <c r="L67">
        <v>3</v>
      </c>
      <c r="M67">
        <v>63</v>
      </c>
      <c r="N67">
        <v>10</v>
      </c>
      <c r="O67">
        <v>10</v>
      </c>
      <c r="P67">
        <v>120</v>
      </c>
      <c r="Q67">
        <v>11</v>
      </c>
      <c r="R67">
        <v>45</v>
      </c>
      <c r="S67">
        <v>0</v>
      </c>
      <c r="T67">
        <v>120</v>
      </c>
      <c r="U67">
        <v>805</v>
      </c>
      <c r="V67">
        <v>802</v>
      </c>
      <c r="W67">
        <v>18</v>
      </c>
      <c r="X67">
        <v>1269</v>
      </c>
      <c r="Y67">
        <v>689</v>
      </c>
      <c r="Z67">
        <v>1</v>
      </c>
      <c r="AA67">
        <v>7</v>
      </c>
      <c r="AB67">
        <v>5</v>
      </c>
      <c r="AC67">
        <v>16323</v>
      </c>
      <c r="AD67">
        <v>203</v>
      </c>
      <c r="AE67">
        <v>2335</v>
      </c>
      <c r="AG67">
        <v>809</v>
      </c>
      <c r="AH67">
        <v>237</v>
      </c>
      <c r="AI67">
        <v>26446</v>
      </c>
      <c r="AK67">
        <v>4</v>
      </c>
      <c r="AL67">
        <v>509</v>
      </c>
      <c r="AM67">
        <v>2</v>
      </c>
      <c r="AN67">
        <v>45</v>
      </c>
      <c r="AO67">
        <v>21</v>
      </c>
      <c r="AP67" t="s">
        <v>39</v>
      </c>
    </row>
    <row r="68" spans="1:42" x14ac:dyDescent="0.3">
      <c r="A68" t="s">
        <v>6</v>
      </c>
      <c r="B68">
        <v>17</v>
      </c>
      <c r="C68">
        <v>8</v>
      </c>
      <c r="D68">
        <v>52</v>
      </c>
      <c r="E68">
        <v>59</v>
      </c>
      <c r="F68">
        <v>2</v>
      </c>
      <c r="G68">
        <v>497</v>
      </c>
      <c r="H68">
        <v>158</v>
      </c>
      <c r="I68">
        <v>5</v>
      </c>
      <c r="J68">
        <v>12</v>
      </c>
      <c r="K68">
        <v>5</v>
      </c>
      <c r="L68">
        <v>0</v>
      </c>
      <c r="M68">
        <v>44</v>
      </c>
      <c r="N68">
        <v>8</v>
      </c>
      <c r="O68">
        <v>4</v>
      </c>
      <c r="P68">
        <v>81</v>
      </c>
      <c r="Q68">
        <v>15</v>
      </c>
      <c r="R68">
        <v>39</v>
      </c>
      <c r="S68">
        <v>0</v>
      </c>
      <c r="T68">
        <v>225</v>
      </c>
      <c r="U68">
        <v>690</v>
      </c>
      <c r="V68">
        <v>880</v>
      </c>
      <c r="W68">
        <v>6</v>
      </c>
      <c r="X68">
        <v>1531</v>
      </c>
      <c r="Y68">
        <v>877</v>
      </c>
      <c r="Z68">
        <v>3</v>
      </c>
      <c r="AA68">
        <v>6</v>
      </c>
      <c r="AB68">
        <v>6</v>
      </c>
      <c r="AC68">
        <v>13127</v>
      </c>
      <c r="AD68">
        <v>70</v>
      </c>
      <c r="AE68">
        <v>2055</v>
      </c>
      <c r="AG68">
        <v>1031</v>
      </c>
      <c r="AH68">
        <v>236</v>
      </c>
      <c r="AI68">
        <v>23210</v>
      </c>
      <c r="AK68">
        <v>10</v>
      </c>
      <c r="AL68">
        <v>520</v>
      </c>
      <c r="AM68">
        <v>0</v>
      </c>
      <c r="AN68">
        <v>39</v>
      </c>
      <c r="AO68">
        <v>39</v>
      </c>
      <c r="AP68" t="s">
        <v>39</v>
      </c>
    </row>
    <row r="69" spans="1:42" x14ac:dyDescent="0.3">
      <c r="A69" t="s">
        <v>7</v>
      </c>
      <c r="B69">
        <v>16</v>
      </c>
      <c r="C69">
        <v>9</v>
      </c>
      <c r="D69">
        <v>60</v>
      </c>
      <c r="E69">
        <v>57</v>
      </c>
      <c r="F69">
        <v>2</v>
      </c>
      <c r="G69">
        <v>589</v>
      </c>
      <c r="H69">
        <v>194</v>
      </c>
      <c r="I69">
        <v>12</v>
      </c>
      <c r="J69">
        <v>16</v>
      </c>
      <c r="K69">
        <v>5</v>
      </c>
      <c r="L69">
        <v>2</v>
      </c>
      <c r="M69">
        <v>52</v>
      </c>
      <c r="N69">
        <v>8</v>
      </c>
      <c r="O69">
        <v>2</v>
      </c>
      <c r="P69">
        <v>94</v>
      </c>
      <c r="Q69">
        <v>11</v>
      </c>
      <c r="R69">
        <v>49</v>
      </c>
      <c r="S69">
        <v>0</v>
      </c>
      <c r="T69">
        <v>137</v>
      </c>
      <c r="U69">
        <v>827</v>
      </c>
      <c r="V69">
        <v>768</v>
      </c>
      <c r="W69">
        <v>19</v>
      </c>
      <c r="X69">
        <v>1601</v>
      </c>
      <c r="Y69">
        <v>880</v>
      </c>
      <c r="Z69">
        <v>3</v>
      </c>
      <c r="AA69">
        <v>2</v>
      </c>
      <c r="AB69">
        <v>0</v>
      </c>
      <c r="AC69">
        <v>14832</v>
      </c>
      <c r="AD69">
        <v>115</v>
      </c>
      <c r="AE69">
        <v>2335</v>
      </c>
      <c r="AG69">
        <v>1022</v>
      </c>
      <c r="AH69">
        <v>230</v>
      </c>
      <c r="AI69">
        <v>24914</v>
      </c>
      <c r="AK69">
        <v>4</v>
      </c>
      <c r="AL69">
        <v>600</v>
      </c>
      <c r="AM69">
        <v>2</v>
      </c>
      <c r="AN69">
        <v>52</v>
      </c>
      <c r="AO69">
        <v>17</v>
      </c>
      <c r="AP69" t="s">
        <v>39</v>
      </c>
    </row>
    <row r="70" spans="1:42" x14ac:dyDescent="0.3">
      <c r="A70" t="s">
        <v>32</v>
      </c>
      <c r="B70">
        <v>13</v>
      </c>
      <c r="C70">
        <v>14</v>
      </c>
      <c r="D70">
        <v>38</v>
      </c>
      <c r="E70">
        <v>74</v>
      </c>
      <c r="F70">
        <v>1</v>
      </c>
      <c r="G70">
        <v>452</v>
      </c>
      <c r="H70">
        <v>155</v>
      </c>
      <c r="I70">
        <v>7</v>
      </c>
      <c r="J70">
        <v>3</v>
      </c>
      <c r="K70">
        <v>2</v>
      </c>
      <c r="L70">
        <v>4</v>
      </c>
      <c r="M70">
        <v>30</v>
      </c>
      <c r="N70">
        <v>8</v>
      </c>
      <c r="O70">
        <v>4</v>
      </c>
      <c r="P70">
        <v>98</v>
      </c>
      <c r="Q70">
        <v>11</v>
      </c>
      <c r="R70">
        <v>47</v>
      </c>
      <c r="S70">
        <v>0</v>
      </c>
      <c r="T70">
        <v>193</v>
      </c>
      <c r="U70">
        <v>777</v>
      </c>
      <c r="V70">
        <v>785</v>
      </c>
      <c r="W70">
        <v>4</v>
      </c>
      <c r="X70">
        <v>1499</v>
      </c>
      <c r="Y70">
        <v>815</v>
      </c>
      <c r="Z70">
        <v>1</v>
      </c>
      <c r="AA70">
        <v>3</v>
      </c>
      <c r="AB70">
        <v>3</v>
      </c>
      <c r="AC70">
        <v>13540</v>
      </c>
      <c r="AD70">
        <v>124</v>
      </c>
      <c r="AE70">
        <v>2433</v>
      </c>
      <c r="AG70">
        <v>736</v>
      </c>
      <c r="AH70">
        <v>186</v>
      </c>
      <c r="AI70">
        <v>23678</v>
      </c>
      <c r="AK70">
        <v>5</v>
      </c>
      <c r="AL70">
        <v>445</v>
      </c>
      <c r="AM70">
        <v>0</v>
      </c>
      <c r="AN70">
        <v>78</v>
      </c>
      <c r="AO70">
        <v>35</v>
      </c>
      <c r="AP70" t="s">
        <v>39</v>
      </c>
    </row>
    <row r="71" spans="1:42" x14ac:dyDescent="0.3">
      <c r="A71" t="s">
        <v>13</v>
      </c>
      <c r="B71">
        <v>13</v>
      </c>
      <c r="C71">
        <v>14</v>
      </c>
      <c r="D71">
        <v>41</v>
      </c>
      <c r="E71">
        <v>57</v>
      </c>
      <c r="F71">
        <v>2</v>
      </c>
      <c r="G71">
        <v>489</v>
      </c>
      <c r="H71">
        <v>161</v>
      </c>
      <c r="I71">
        <v>18</v>
      </c>
      <c r="J71">
        <v>11</v>
      </c>
      <c r="K71">
        <v>3</v>
      </c>
      <c r="L71">
        <v>0</v>
      </c>
      <c r="M71">
        <v>35</v>
      </c>
      <c r="N71">
        <v>6</v>
      </c>
      <c r="O71">
        <v>2</v>
      </c>
      <c r="P71">
        <v>124</v>
      </c>
      <c r="Q71">
        <v>13</v>
      </c>
      <c r="R71">
        <v>55</v>
      </c>
      <c r="S71">
        <v>0</v>
      </c>
      <c r="T71">
        <v>132</v>
      </c>
      <c r="U71">
        <v>730</v>
      </c>
      <c r="V71">
        <v>709</v>
      </c>
      <c r="W71">
        <v>12</v>
      </c>
      <c r="X71">
        <v>1557</v>
      </c>
      <c r="Y71">
        <v>832</v>
      </c>
      <c r="Z71">
        <v>1</v>
      </c>
      <c r="AA71">
        <v>2</v>
      </c>
      <c r="AB71">
        <v>2</v>
      </c>
      <c r="AC71">
        <v>11792</v>
      </c>
      <c r="AD71">
        <v>91</v>
      </c>
      <c r="AE71">
        <v>2203</v>
      </c>
      <c r="AG71">
        <v>752</v>
      </c>
      <c r="AH71">
        <v>181</v>
      </c>
      <c r="AI71">
        <v>21245</v>
      </c>
      <c r="AK71">
        <v>6</v>
      </c>
      <c r="AL71">
        <v>445</v>
      </c>
      <c r="AM71">
        <v>0</v>
      </c>
      <c r="AN71">
        <v>61</v>
      </c>
      <c r="AO71">
        <v>32</v>
      </c>
      <c r="AP71" t="s">
        <v>39</v>
      </c>
    </row>
    <row r="72" spans="1:42" x14ac:dyDescent="0.3">
      <c r="A72" t="s">
        <v>23</v>
      </c>
      <c r="B72">
        <v>12</v>
      </c>
      <c r="C72">
        <v>16</v>
      </c>
      <c r="D72">
        <v>39</v>
      </c>
      <c r="E72">
        <v>46</v>
      </c>
      <c r="F72">
        <v>1</v>
      </c>
      <c r="G72">
        <v>463</v>
      </c>
      <c r="H72">
        <v>144</v>
      </c>
      <c r="I72">
        <v>7</v>
      </c>
      <c r="J72">
        <v>4</v>
      </c>
      <c r="K72">
        <v>4</v>
      </c>
      <c r="L72">
        <v>2</v>
      </c>
      <c r="M72">
        <v>30</v>
      </c>
      <c r="N72">
        <v>9</v>
      </c>
      <c r="O72">
        <v>0</v>
      </c>
      <c r="P72">
        <v>92</v>
      </c>
      <c r="Q72">
        <v>12</v>
      </c>
      <c r="R72">
        <v>46</v>
      </c>
      <c r="S72">
        <v>5</v>
      </c>
      <c r="T72">
        <v>147</v>
      </c>
      <c r="U72">
        <v>752</v>
      </c>
      <c r="V72">
        <v>745</v>
      </c>
      <c r="W72">
        <v>10</v>
      </c>
      <c r="X72">
        <v>1459</v>
      </c>
      <c r="Y72">
        <v>785</v>
      </c>
      <c r="Z72">
        <v>5</v>
      </c>
      <c r="AA72">
        <v>2</v>
      </c>
      <c r="AB72">
        <v>2</v>
      </c>
      <c r="AC72">
        <v>16505</v>
      </c>
      <c r="AD72">
        <v>112</v>
      </c>
      <c r="AE72">
        <v>2104</v>
      </c>
      <c r="AG72">
        <v>727</v>
      </c>
      <c r="AH72">
        <v>177</v>
      </c>
      <c r="AI72">
        <v>26134</v>
      </c>
      <c r="AK72">
        <v>5</v>
      </c>
      <c r="AL72">
        <v>467</v>
      </c>
      <c r="AM72">
        <v>0</v>
      </c>
      <c r="AN72">
        <v>99</v>
      </c>
      <c r="AO72">
        <v>29</v>
      </c>
      <c r="AP72" t="s">
        <v>39</v>
      </c>
    </row>
    <row r="73" spans="1:42" x14ac:dyDescent="0.3">
      <c r="A73" t="s">
        <v>37</v>
      </c>
      <c r="B73">
        <v>11</v>
      </c>
      <c r="C73">
        <v>13</v>
      </c>
      <c r="D73">
        <v>34</v>
      </c>
      <c r="E73">
        <v>63</v>
      </c>
      <c r="F73">
        <v>5</v>
      </c>
      <c r="G73">
        <v>402</v>
      </c>
      <c r="H73">
        <v>113</v>
      </c>
      <c r="I73">
        <v>5</v>
      </c>
      <c r="J73">
        <v>9</v>
      </c>
      <c r="K73">
        <v>2</v>
      </c>
      <c r="L73">
        <v>0</v>
      </c>
      <c r="M73">
        <v>32</v>
      </c>
      <c r="N73">
        <v>2</v>
      </c>
      <c r="O73">
        <v>1</v>
      </c>
      <c r="P73">
        <v>86</v>
      </c>
      <c r="Q73">
        <v>14</v>
      </c>
      <c r="R73">
        <v>48</v>
      </c>
      <c r="S73">
        <v>4</v>
      </c>
      <c r="T73">
        <v>184</v>
      </c>
      <c r="U73">
        <v>738</v>
      </c>
      <c r="V73">
        <v>724</v>
      </c>
      <c r="W73">
        <v>8</v>
      </c>
      <c r="X73">
        <v>1632</v>
      </c>
      <c r="Y73">
        <v>1010</v>
      </c>
      <c r="Z73">
        <v>1</v>
      </c>
      <c r="AA73">
        <v>6</v>
      </c>
      <c r="AB73">
        <v>3</v>
      </c>
      <c r="AC73">
        <v>10307</v>
      </c>
      <c r="AD73">
        <v>61</v>
      </c>
      <c r="AE73">
        <v>2176</v>
      </c>
      <c r="AG73">
        <v>661</v>
      </c>
      <c r="AH73">
        <v>181</v>
      </c>
      <c r="AI73">
        <v>19825</v>
      </c>
      <c r="AK73">
        <v>3</v>
      </c>
      <c r="AL73">
        <v>383</v>
      </c>
      <c r="AM73">
        <v>3</v>
      </c>
      <c r="AN73">
        <v>117</v>
      </c>
      <c r="AO73">
        <v>17</v>
      </c>
      <c r="AP73" t="s">
        <v>39</v>
      </c>
    </row>
    <row r="74" spans="1:42" x14ac:dyDescent="0.3">
      <c r="A74" t="s">
        <v>29</v>
      </c>
      <c r="B74">
        <v>11</v>
      </c>
      <c r="C74">
        <v>16</v>
      </c>
      <c r="D74">
        <v>48</v>
      </c>
      <c r="E74">
        <v>77</v>
      </c>
      <c r="F74">
        <v>9</v>
      </c>
      <c r="G74">
        <v>444</v>
      </c>
      <c r="H74">
        <v>159</v>
      </c>
      <c r="I74">
        <v>11</v>
      </c>
      <c r="J74">
        <v>10</v>
      </c>
      <c r="K74">
        <v>6</v>
      </c>
      <c r="L74">
        <v>1</v>
      </c>
      <c r="M74">
        <v>44</v>
      </c>
      <c r="N74">
        <v>4</v>
      </c>
      <c r="O74">
        <v>6</v>
      </c>
      <c r="P74">
        <v>93</v>
      </c>
      <c r="Q74">
        <v>7</v>
      </c>
      <c r="R74">
        <v>56</v>
      </c>
      <c r="S74">
        <v>0</v>
      </c>
      <c r="T74">
        <v>162</v>
      </c>
      <c r="U74">
        <v>829</v>
      </c>
      <c r="V74">
        <v>890</v>
      </c>
      <c r="W74">
        <v>10</v>
      </c>
      <c r="X74">
        <v>1641</v>
      </c>
      <c r="Y74">
        <v>904</v>
      </c>
      <c r="Z74">
        <v>2</v>
      </c>
      <c r="AA74">
        <v>6</v>
      </c>
      <c r="AB74">
        <v>5</v>
      </c>
      <c r="AC74">
        <v>12489</v>
      </c>
      <c r="AD74">
        <v>136</v>
      </c>
      <c r="AE74">
        <v>2265</v>
      </c>
      <c r="AG74">
        <v>884</v>
      </c>
      <c r="AH74">
        <v>180</v>
      </c>
      <c r="AI74">
        <v>22903</v>
      </c>
      <c r="AK74">
        <v>7</v>
      </c>
      <c r="AL74">
        <v>534</v>
      </c>
      <c r="AM74">
        <v>0</v>
      </c>
      <c r="AN74">
        <v>54</v>
      </c>
      <c r="AO74">
        <v>30</v>
      </c>
      <c r="AP74" t="s">
        <v>39</v>
      </c>
    </row>
    <row r="75" spans="1:42" x14ac:dyDescent="0.3">
      <c r="A75" t="s">
        <v>20</v>
      </c>
      <c r="B75">
        <v>10</v>
      </c>
      <c r="C75">
        <v>19</v>
      </c>
      <c r="D75">
        <v>42</v>
      </c>
      <c r="E75">
        <v>74</v>
      </c>
      <c r="F75">
        <v>5</v>
      </c>
      <c r="G75">
        <v>558</v>
      </c>
      <c r="H75">
        <v>163</v>
      </c>
      <c r="I75">
        <v>10</v>
      </c>
      <c r="J75">
        <v>10</v>
      </c>
      <c r="K75">
        <v>4</v>
      </c>
      <c r="L75">
        <v>2</v>
      </c>
      <c r="M75">
        <v>38</v>
      </c>
      <c r="N75">
        <v>4</v>
      </c>
      <c r="O75">
        <v>0</v>
      </c>
      <c r="P75">
        <v>58</v>
      </c>
      <c r="Q75">
        <v>5</v>
      </c>
      <c r="R75">
        <v>67</v>
      </c>
      <c r="S75">
        <v>0</v>
      </c>
      <c r="T75">
        <v>147</v>
      </c>
      <c r="U75">
        <v>735</v>
      </c>
      <c r="V75">
        <v>912</v>
      </c>
      <c r="W75">
        <v>15</v>
      </c>
      <c r="X75">
        <v>1638</v>
      </c>
      <c r="Y75">
        <v>936</v>
      </c>
      <c r="Z75">
        <v>4</v>
      </c>
      <c r="AA75">
        <v>5</v>
      </c>
      <c r="AB75">
        <v>3</v>
      </c>
      <c r="AC75">
        <v>11404</v>
      </c>
      <c r="AD75">
        <v>114</v>
      </c>
      <c r="AE75">
        <v>2277</v>
      </c>
      <c r="AG75">
        <v>875</v>
      </c>
      <c r="AH75">
        <v>183</v>
      </c>
      <c r="AI75">
        <v>21587</v>
      </c>
      <c r="AK75">
        <v>9</v>
      </c>
      <c r="AL75">
        <v>445</v>
      </c>
      <c r="AM75">
        <v>2</v>
      </c>
      <c r="AN75">
        <v>50</v>
      </c>
      <c r="AO75">
        <v>19</v>
      </c>
      <c r="AP75" t="s">
        <v>39</v>
      </c>
    </row>
    <row r="76" spans="1:42" x14ac:dyDescent="0.3">
      <c r="A76" t="s">
        <v>11</v>
      </c>
      <c r="B76">
        <v>9</v>
      </c>
      <c r="C76">
        <v>20</v>
      </c>
      <c r="D76">
        <v>37</v>
      </c>
      <c r="E76">
        <v>65</v>
      </c>
      <c r="F76">
        <v>3</v>
      </c>
      <c r="G76">
        <v>555</v>
      </c>
      <c r="H76">
        <v>174</v>
      </c>
      <c r="I76">
        <v>13</v>
      </c>
      <c r="J76">
        <v>10</v>
      </c>
      <c r="K76">
        <v>1</v>
      </c>
      <c r="L76">
        <v>2</v>
      </c>
      <c r="M76">
        <v>32</v>
      </c>
      <c r="N76">
        <v>5</v>
      </c>
      <c r="O76">
        <v>1</v>
      </c>
      <c r="P76">
        <v>50</v>
      </c>
      <c r="Q76">
        <v>8</v>
      </c>
      <c r="R76">
        <v>79</v>
      </c>
      <c r="S76">
        <v>0</v>
      </c>
      <c r="T76">
        <v>131</v>
      </c>
      <c r="U76">
        <v>743</v>
      </c>
      <c r="V76">
        <v>908</v>
      </c>
      <c r="W76">
        <v>13</v>
      </c>
      <c r="X76">
        <v>1353</v>
      </c>
      <c r="Y76">
        <v>666</v>
      </c>
      <c r="Z76">
        <v>1</v>
      </c>
      <c r="AA76">
        <v>7</v>
      </c>
      <c r="AB76">
        <v>7</v>
      </c>
      <c r="AC76">
        <v>14753</v>
      </c>
      <c r="AD76">
        <v>126</v>
      </c>
      <c r="AE76">
        <v>2607</v>
      </c>
      <c r="AG76">
        <v>681</v>
      </c>
      <c r="AH76">
        <v>181</v>
      </c>
      <c r="AI76">
        <v>25000</v>
      </c>
      <c r="AK76">
        <v>11</v>
      </c>
      <c r="AL76">
        <v>613</v>
      </c>
      <c r="AM76">
        <v>0</v>
      </c>
      <c r="AN76">
        <v>46</v>
      </c>
      <c r="AO76">
        <v>20</v>
      </c>
      <c r="AP76" t="s">
        <v>39</v>
      </c>
    </row>
    <row r="77" spans="1:42" x14ac:dyDescent="0.3">
      <c r="A77" t="s">
        <v>41</v>
      </c>
      <c r="B77">
        <v>9</v>
      </c>
      <c r="C77">
        <v>18</v>
      </c>
      <c r="D77">
        <v>32</v>
      </c>
      <c r="E77">
        <v>63</v>
      </c>
      <c r="F77">
        <v>4</v>
      </c>
      <c r="G77">
        <v>436</v>
      </c>
      <c r="H77">
        <v>119</v>
      </c>
      <c r="I77">
        <v>8</v>
      </c>
      <c r="J77">
        <v>6</v>
      </c>
      <c r="K77">
        <v>2</v>
      </c>
      <c r="L77">
        <v>0</v>
      </c>
      <c r="M77">
        <v>29</v>
      </c>
      <c r="N77">
        <v>3</v>
      </c>
      <c r="O77">
        <v>0</v>
      </c>
      <c r="P77">
        <v>65</v>
      </c>
      <c r="Q77">
        <v>8</v>
      </c>
      <c r="R77">
        <v>56</v>
      </c>
      <c r="S77">
        <v>0</v>
      </c>
      <c r="T77">
        <v>127</v>
      </c>
      <c r="U77">
        <v>537</v>
      </c>
      <c r="V77">
        <v>705</v>
      </c>
      <c r="W77">
        <v>15</v>
      </c>
      <c r="X77">
        <v>1618</v>
      </c>
      <c r="Y77">
        <v>784</v>
      </c>
      <c r="Z77">
        <v>3</v>
      </c>
      <c r="AA77">
        <v>6</v>
      </c>
      <c r="AB77">
        <v>5</v>
      </c>
      <c r="AC77">
        <v>13020</v>
      </c>
      <c r="AD77">
        <v>60</v>
      </c>
      <c r="AE77">
        <v>2307</v>
      </c>
      <c r="AG77">
        <v>940</v>
      </c>
      <c r="AH77">
        <v>204</v>
      </c>
      <c r="AI77">
        <v>22641</v>
      </c>
      <c r="AK77">
        <v>6</v>
      </c>
      <c r="AL77">
        <v>410</v>
      </c>
      <c r="AM77">
        <v>1</v>
      </c>
      <c r="AN77">
        <v>118</v>
      </c>
      <c r="AO77">
        <v>29</v>
      </c>
      <c r="AP77" t="s">
        <v>39</v>
      </c>
    </row>
    <row r="78" spans="1:42" x14ac:dyDescent="0.3">
      <c r="A78" t="s">
        <v>40</v>
      </c>
      <c r="B78">
        <v>8</v>
      </c>
      <c r="C78">
        <v>24</v>
      </c>
      <c r="D78">
        <v>42</v>
      </c>
      <c r="E78">
        <v>57</v>
      </c>
      <c r="F78">
        <v>2</v>
      </c>
      <c r="G78">
        <v>459</v>
      </c>
      <c r="H78">
        <v>153</v>
      </c>
      <c r="I78">
        <v>14</v>
      </c>
      <c r="J78">
        <v>6</v>
      </c>
      <c r="K78">
        <v>6</v>
      </c>
      <c r="L78">
        <v>2</v>
      </c>
      <c r="M78">
        <v>38</v>
      </c>
      <c r="N78">
        <v>4</v>
      </c>
      <c r="O78">
        <v>2</v>
      </c>
      <c r="P78">
        <v>66</v>
      </c>
      <c r="Q78">
        <v>3</v>
      </c>
      <c r="R78">
        <v>82</v>
      </c>
      <c r="S78">
        <v>0</v>
      </c>
      <c r="T78">
        <v>147</v>
      </c>
      <c r="U78">
        <v>661</v>
      </c>
      <c r="V78">
        <v>686</v>
      </c>
      <c r="W78">
        <v>13</v>
      </c>
      <c r="X78">
        <v>1552</v>
      </c>
      <c r="Y78">
        <v>775</v>
      </c>
      <c r="Z78">
        <v>2</v>
      </c>
      <c r="AA78">
        <v>9</v>
      </c>
      <c r="AB78">
        <v>5</v>
      </c>
      <c r="AC78">
        <v>13591</v>
      </c>
      <c r="AD78">
        <v>83</v>
      </c>
      <c r="AE78">
        <v>2348</v>
      </c>
      <c r="AG78">
        <v>825</v>
      </c>
      <c r="AH78">
        <v>174</v>
      </c>
      <c r="AI78">
        <v>23571</v>
      </c>
      <c r="AK78">
        <v>7</v>
      </c>
      <c r="AL78">
        <v>524</v>
      </c>
      <c r="AM78">
        <v>3</v>
      </c>
      <c r="AN78">
        <v>55</v>
      </c>
      <c r="AO78">
        <v>27</v>
      </c>
      <c r="AP78" t="s">
        <v>39</v>
      </c>
    </row>
    <row r="79" spans="1:42" x14ac:dyDescent="0.3">
      <c r="A79" t="s">
        <v>18</v>
      </c>
      <c r="B79">
        <v>8</v>
      </c>
      <c r="C79">
        <v>19</v>
      </c>
      <c r="D79">
        <v>47</v>
      </c>
      <c r="E79">
        <v>62</v>
      </c>
      <c r="F79">
        <v>3</v>
      </c>
      <c r="G79">
        <v>549</v>
      </c>
      <c r="H79">
        <v>191</v>
      </c>
      <c r="I79">
        <v>12</v>
      </c>
      <c r="J79">
        <v>13</v>
      </c>
      <c r="K79">
        <v>7</v>
      </c>
      <c r="L79">
        <v>1</v>
      </c>
      <c r="M79">
        <v>41</v>
      </c>
      <c r="N79">
        <v>6</v>
      </c>
      <c r="O79">
        <v>0</v>
      </c>
      <c r="P79">
        <v>92</v>
      </c>
      <c r="Q79">
        <v>8</v>
      </c>
      <c r="R79">
        <v>66</v>
      </c>
      <c r="S79">
        <v>4</v>
      </c>
      <c r="T79">
        <v>160</v>
      </c>
      <c r="U79">
        <v>755</v>
      </c>
      <c r="V79">
        <v>830</v>
      </c>
      <c r="W79">
        <v>10</v>
      </c>
      <c r="X79">
        <v>1623</v>
      </c>
      <c r="Y79">
        <v>870</v>
      </c>
      <c r="Z79">
        <v>3</v>
      </c>
      <c r="AA79">
        <v>6</v>
      </c>
      <c r="AB79">
        <v>5</v>
      </c>
      <c r="AC79">
        <v>14616</v>
      </c>
      <c r="AD79">
        <v>164</v>
      </c>
      <c r="AE79">
        <v>2197</v>
      </c>
      <c r="AG79">
        <v>689</v>
      </c>
      <c r="AH79">
        <v>180</v>
      </c>
      <c r="AI79">
        <v>24973</v>
      </c>
      <c r="AK79">
        <v>8</v>
      </c>
      <c r="AL79">
        <v>522</v>
      </c>
      <c r="AM79">
        <v>1</v>
      </c>
      <c r="AN79">
        <v>72</v>
      </c>
      <c r="AO79">
        <v>35</v>
      </c>
      <c r="AP79" t="s">
        <v>39</v>
      </c>
    </row>
    <row r="80" spans="1:42" x14ac:dyDescent="0.3">
      <c r="A80" t="s">
        <v>12</v>
      </c>
      <c r="B80">
        <v>7</v>
      </c>
      <c r="C80">
        <v>24</v>
      </c>
      <c r="D80">
        <v>34</v>
      </c>
      <c r="E80">
        <v>68</v>
      </c>
      <c r="F80">
        <v>5</v>
      </c>
      <c r="G80">
        <v>533</v>
      </c>
      <c r="H80">
        <v>151</v>
      </c>
      <c r="I80">
        <v>7</v>
      </c>
      <c r="J80">
        <v>7</v>
      </c>
      <c r="K80">
        <v>3</v>
      </c>
      <c r="L80">
        <v>1</v>
      </c>
      <c r="M80">
        <v>31</v>
      </c>
      <c r="N80">
        <v>3</v>
      </c>
      <c r="O80">
        <v>2</v>
      </c>
      <c r="P80">
        <v>93</v>
      </c>
      <c r="Q80">
        <v>7</v>
      </c>
      <c r="R80">
        <v>66</v>
      </c>
      <c r="S80">
        <v>0</v>
      </c>
      <c r="T80">
        <v>135</v>
      </c>
      <c r="U80">
        <v>681</v>
      </c>
      <c r="V80">
        <v>774</v>
      </c>
      <c r="W80">
        <v>14</v>
      </c>
      <c r="X80">
        <v>1356</v>
      </c>
      <c r="Y80">
        <v>751</v>
      </c>
      <c r="Z80">
        <v>3</v>
      </c>
      <c r="AA80">
        <v>9</v>
      </c>
      <c r="AB80">
        <v>8</v>
      </c>
      <c r="AC80">
        <v>13509</v>
      </c>
      <c r="AD80">
        <v>95</v>
      </c>
      <c r="AE80">
        <v>1977</v>
      </c>
      <c r="AG80">
        <v>818</v>
      </c>
      <c r="AH80">
        <v>189</v>
      </c>
      <c r="AI80">
        <v>23416</v>
      </c>
      <c r="AK80">
        <v>4</v>
      </c>
      <c r="AL80">
        <v>497</v>
      </c>
      <c r="AM80">
        <v>1</v>
      </c>
      <c r="AN80">
        <v>83</v>
      </c>
      <c r="AO80">
        <v>27</v>
      </c>
      <c r="AP80" t="s">
        <v>39</v>
      </c>
    </row>
    <row r="81" spans="1:42" x14ac:dyDescent="0.3">
      <c r="A81" t="s">
        <v>38</v>
      </c>
      <c r="B81">
        <v>6</v>
      </c>
      <c r="C81">
        <v>20</v>
      </c>
      <c r="D81">
        <v>34</v>
      </c>
      <c r="E81">
        <v>64</v>
      </c>
      <c r="F81">
        <v>6</v>
      </c>
      <c r="G81">
        <v>388</v>
      </c>
      <c r="H81">
        <v>120</v>
      </c>
      <c r="I81">
        <v>6</v>
      </c>
      <c r="J81">
        <v>8</v>
      </c>
      <c r="K81">
        <v>6</v>
      </c>
      <c r="L81">
        <v>2</v>
      </c>
      <c r="M81">
        <v>27</v>
      </c>
      <c r="N81">
        <v>7</v>
      </c>
      <c r="O81">
        <v>1</v>
      </c>
      <c r="P81">
        <v>86</v>
      </c>
      <c r="Q81">
        <v>7</v>
      </c>
      <c r="R81">
        <v>75</v>
      </c>
      <c r="S81">
        <v>0</v>
      </c>
      <c r="T81">
        <v>157</v>
      </c>
      <c r="U81">
        <v>674</v>
      </c>
      <c r="V81">
        <v>760</v>
      </c>
      <c r="W81">
        <v>12</v>
      </c>
      <c r="X81">
        <v>1528</v>
      </c>
      <c r="Y81">
        <v>805</v>
      </c>
      <c r="Z81">
        <v>5</v>
      </c>
      <c r="AA81">
        <v>8</v>
      </c>
      <c r="AB81">
        <v>7</v>
      </c>
      <c r="AC81">
        <v>11731</v>
      </c>
      <c r="AD81">
        <v>46</v>
      </c>
      <c r="AE81">
        <v>2128</v>
      </c>
      <c r="AG81">
        <v>753</v>
      </c>
      <c r="AH81">
        <v>150</v>
      </c>
      <c r="AI81">
        <v>21522</v>
      </c>
      <c r="AK81">
        <v>4</v>
      </c>
      <c r="AL81">
        <v>535</v>
      </c>
      <c r="AM81">
        <v>1</v>
      </c>
      <c r="AN81">
        <v>59</v>
      </c>
      <c r="AO81">
        <v>46</v>
      </c>
      <c r="AP81" t="s">
        <v>39</v>
      </c>
    </row>
    <row r="82" spans="1:42" x14ac:dyDescent="0.3">
      <c r="A82" t="s">
        <v>22</v>
      </c>
      <c r="B82">
        <v>23</v>
      </c>
      <c r="C82">
        <v>4</v>
      </c>
      <c r="D82">
        <v>78</v>
      </c>
      <c r="E82">
        <v>56</v>
      </c>
      <c r="F82">
        <v>3</v>
      </c>
      <c r="G82">
        <v>618</v>
      </c>
      <c r="H82">
        <v>212</v>
      </c>
      <c r="I82">
        <v>15</v>
      </c>
      <c r="J82">
        <v>18</v>
      </c>
      <c r="K82">
        <v>3</v>
      </c>
      <c r="L82">
        <v>1</v>
      </c>
      <c r="M82">
        <v>71</v>
      </c>
      <c r="N82">
        <v>7</v>
      </c>
      <c r="O82">
        <v>5</v>
      </c>
      <c r="P82">
        <v>102</v>
      </c>
      <c r="Q82">
        <v>15</v>
      </c>
      <c r="R82">
        <v>37</v>
      </c>
      <c r="S82">
        <v>0</v>
      </c>
      <c r="T82">
        <v>107</v>
      </c>
      <c r="U82">
        <v>646</v>
      </c>
      <c r="V82">
        <v>693</v>
      </c>
      <c r="W82">
        <v>17</v>
      </c>
      <c r="X82">
        <v>1053</v>
      </c>
      <c r="Y82">
        <v>634</v>
      </c>
      <c r="Z82">
        <v>1</v>
      </c>
      <c r="AA82">
        <v>6</v>
      </c>
      <c r="AB82">
        <v>5</v>
      </c>
      <c r="AC82">
        <v>18870</v>
      </c>
      <c r="AD82">
        <v>212</v>
      </c>
      <c r="AE82">
        <v>2279</v>
      </c>
      <c r="AF82">
        <v>2411</v>
      </c>
      <c r="AG82">
        <v>1005</v>
      </c>
      <c r="AH82">
        <v>243</v>
      </c>
      <c r="AI82">
        <v>26671</v>
      </c>
      <c r="AJ82">
        <v>50</v>
      </c>
      <c r="AK82">
        <v>2</v>
      </c>
      <c r="AL82">
        <v>471</v>
      </c>
      <c r="AM82">
        <v>0</v>
      </c>
      <c r="AN82">
        <v>45</v>
      </c>
      <c r="AO82">
        <v>16</v>
      </c>
      <c r="AP82" t="s">
        <v>43</v>
      </c>
    </row>
    <row r="83" spans="1:42" x14ac:dyDescent="0.3">
      <c r="A83" t="s">
        <v>25</v>
      </c>
      <c r="B83">
        <v>21</v>
      </c>
      <c r="C83">
        <v>9</v>
      </c>
      <c r="D83">
        <v>69</v>
      </c>
      <c r="E83">
        <v>59</v>
      </c>
      <c r="F83">
        <v>1</v>
      </c>
      <c r="G83">
        <v>745</v>
      </c>
      <c r="H83">
        <v>244</v>
      </c>
      <c r="I83">
        <v>21</v>
      </c>
      <c r="J83">
        <v>12</v>
      </c>
      <c r="K83">
        <v>6</v>
      </c>
      <c r="L83">
        <v>2</v>
      </c>
      <c r="M83">
        <v>61</v>
      </c>
      <c r="N83">
        <v>8</v>
      </c>
      <c r="O83">
        <v>4</v>
      </c>
      <c r="P83">
        <v>113</v>
      </c>
      <c r="Q83">
        <v>15</v>
      </c>
      <c r="R83">
        <v>33</v>
      </c>
      <c r="S83">
        <v>0</v>
      </c>
      <c r="T83">
        <v>127</v>
      </c>
      <c r="U83">
        <v>616</v>
      </c>
      <c r="V83">
        <v>769</v>
      </c>
      <c r="W83">
        <v>19</v>
      </c>
      <c r="X83">
        <v>762</v>
      </c>
      <c r="Y83">
        <v>470</v>
      </c>
      <c r="Z83">
        <v>1</v>
      </c>
      <c r="AA83">
        <v>3</v>
      </c>
      <c r="AB83">
        <v>2</v>
      </c>
      <c r="AC83">
        <v>19236</v>
      </c>
      <c r="AD83">
        <v>252</v>
      </c>
      <c r="AE83">
        <v>2044</v>
      </c>
      <c r="AF83">
        <v>2465</v>
      </c>
      <c r="AG83">
        <v>995</v>
      </c>
      <c r="AH83">
        <v>257</v>
      </c>
      <c r="AI83">
        <v>27426</v>
      </c>
      <c r="AJ83">
        <v>70</v>
      </c>
      <c r="AK83">
        <v>7</v>
      </c>
      <c r="AL83">
        <v>573</v>
      </c>
      <c r="AM83">
        <v>1</v>
      </c>
      <c r="AN83">
        <v>84</v>
      </c>
      <c r="AO83">
        <v>22</v>
      </c>
      <c r="AP83" t="s">
        <v>43</v>
      </c>
    </row>
    <row r="84" spans="1:42" x14ac:dyDescent="0.3">
      <c r="A84" t="s">
        <v>26</v>
      </c>
      <c r="B84">
        <v>21</v>
      </c>
      <c r="C84">
        <v>9</v>
      </c>
      <c r="D84">
        <v>60</v>
      </c>
      <c r="E84">
        <v>71</v>
      </c>
      <c r="F84">
        <v>5</v>
      </c>
      <c r="G84">
        <v>546</v>
      </c>
      <c r="H84">
        <v>177</v>
      </c>
      <c r="I84">
        <v>16</v>
      </c>
      <c r="J84">
        <v>4</v>
      </c>
      <c r="K84">
        <v>8</v>
      </c>
      <c r="L84">
        <v>2</v>
      </c>
      <c r="M84">
        <v>51</v>
      </c>
      <c r="N84">
        <v>9</v>
      </c>
      <c r="O84">
        <v>2</v>
      </c>
      <c r="P84">
        <v>103</v>
      </c>
      <c r="Q84">
        <v>18</v>
      </c>
      <c r="R84">
        <v>33</v>
      </c>
      <c r="S84">
        <v>2</v>
      </c>
      <c r="T84">
        <v>130</v>
      </c>
      <c r="U84">
        <v>629</v>
      </c>
      <c r="V84">
        <v>826</v>
      </c>
      <c r="W84">
        <v>4</v>
      </c>
      <c r="X84">
        <v>1206</v>
      </c>
      <c r="Y84">
        <v>680</v>
      </c>
      <c r="Z84">
        <v>0</v>
      </c>
      <c r="AA84">
        <v>4</v>
      </c>
      <c r="AB84">
        <v>3</v>
      </c>
      <c r="AC84">
        <v>17768</v>
      </c>
      <c r="AD84">
        <v>170</v>
      </c>
      <c r="AE84">
        <v>1721</v>
      </c>
      <c r="AF84">
        <v>2469</v>
      </c>
      <c r="AG84">
        <v>762</v>
      </c>
      <c r="AH84">
        <v>222</v>
      </c>
      <c r="AI84">
        <v>25892</v>
      </c>
      <c r="AJ84">
        <v>51</v>
      </c>
      <c r="AK84">
        <v>2</v>
      </c>
      <c r="AL84">
        <v>520</v>
      </c>
      <c r="AM84">
        <v>1</v>
      </c>
      <c r="AN84">
        <v>66</v>
      </c>
      <c r="AO84">
        <v>27</v>
      </c>
      <c r="AP84" t="s">
        <v>43</v>
      </c>
    </row>
    <row r="85" spans="1:42" x14ac:dyDescent="0.3">
      <c r="A85" t="s">
        <v>5</v>
      </c>
      <c r="B85">
        <v>19</v>
      </c>
      <c r="C85">
        <v>8</v>
      </c>
      <c r="D85">
        <v>72</v>
      </c>
      <c r="E85">
        <v>65</v>
      </c>
      <c r="F85">
        <v>6</v>
      </c>
      <c r="G85">
        <v>654</v>
      </c>
      <c r="H85">
        <v>238</v>
      </c>
      <c r="I85">
        <v>23</v>
      </c>
      <c r="J85">
        <v>9</v>
      </c>
      <c r="K85">
        <v>4</v>
      </c>
      <c r="L85">
        <v>1</v>
      </c>
      <c r="M85">
        <v>67</v>
      </c>
      <c r="N85">
        <v>5</v>
      </c>
      <c r="O85">
        <v>3</v>
      </c>
      <c r="P85">
        <v>93</v>
      </c>
      <c r="Q85">
        <v>13</v>
      </c>
      <c r="R85">
        <v>43</v>
      </c>
      <c r="S85">
        <v>0</v>
      </c>
      <c r="T85">
        <v>94</v>
      </c>
      <c r="U85">
        <v>709</v>
      </c>
      <c r="V85">
        <v>772</v>
      </c>
      <c r="W85">
        <v>3</v>
      </c>
      <c r="X85">
        <v>1077</v>
      </c>
      <c r="Y85">
        <v>580</v>
      </c>
      <c r="Z85">
        <v>1</v>
      </c>
      <c r="AA85">
        <v>9</v>
      </c>
      <c r="AB85">
        <v>6</v>
      </c>
      <c r="AC85">
        <v>20150</v>
      </c>
      <c r="AD85">
        <v>373</v>
      </c>
      <c r="AE85">
        <v>1462</v>
      </c>
      <c r="AF85">
        <v>2278</v>
      </c>
      <c r="AG85">
        <v>928</v>
      </c>
      <c r="AH85">
        <v>252</v>
      </c>
      <c r="AI85">
        <v>28629</v>
      </c>
      <c r="AJ85">
        <v>88</v>
      </c>
      <c r="AK85">
        <v>4</v>
      </c>
      <c r="AL85">
        <v>601</v>
      </c>
      <c r="AM85">
        <v>2</v>
      </c>
      <c r="AN85">
        <v>56</v>
      </c>
      <c r="AO85">
        <v>25</v>
      </c>
      <c r="AP85" t="s">
        <v>43</v>
      </c>
    </row>
    <row r="86" spans="1:42" x14ac:dyDescent="0.3">
      <c r="A86" t="s">
        <v>2</v>
      </c>
      <c r="B86">
        <v>17</v>
      </c>
      <c r="C86">
        <v>14</v>
      </c>
      <c r="D86">
        <v>59</v>
      </c>
      <c r="E86">
        <v>63</v>
      </c>
      <c r="F86">
        <v>2</v>
      </c>
      <c r="G86">
        <v>582</v>
      </c>
      <c r="H86">
        <v>205</v>
      </c>
      <c r="I86">
        <v>12</v>
      </c>
      <c r="J86">
        <v>8</v>
      </c>
      <c r="K86">
        <v>6</v>
      </c>
      <c r="L86">
        <v>1</v>
      </c>
      <c r="M86">
        <v>54</v>
      </c>
      <c r="N86">
        <v>5</v>
      </c>
      <c r="O86">
        <v>3</v>
      </c>
      <c r="P86">
        <v>87</v>
      </c>
      <c r="Q86">
        <v>14</v>
      </c>
      <c r="R86">
        <v>44</v>
      </c>
      <c r="S86">
        <v>0</v>
      </c>
      <c r="T86">
        <v>128</v>
      </c>
      <c r="U86">
        <v>592</v>
      </c>
      <c r="V86">
        <v>908</v>
      </c>
      <c r="W86">
        <v>2</v>
      </c>
      <c r="X86">
        <v>1073</v>
      </c>
      <c r="Y86">
        <v>563</v>
      </c>
      <c r="Z86">
        <v>3</v>
      </c>
      <c r="AA86">
        <v>8</v>
      </c>
      <c r="AB86">
        <v>7</v>
      </c>
      <c r="AC86">
        <v>16728</v>
      </c>
      <c r="AD86">
        <v>148</v>
      </c>
      <c r="AE86">
        <v>2038</v>
      </c>
      <c r="AF86">
        <v>2500</v>
      </c>
      <c r="AG86">
        <v>824</v>
      </c>
      <c r="AH86">
        <v>212</v>
      </c>
      <c r="AI86">
        <v>24941</v>
      </c>
      <c r="AJ86">
        <v>43</v>
      </c>
      <c r="AK86">
        <v>6</v>
      </c>
      <c r="AL86">
        <v>493</v>
      </c>
      <c r="AM86">
        <v>0</v>
      </c>
      <c r="AN86">
        <v>74</v>
      </c>
      <c r="AO86">
        <v>26</v>
      </c>
      <c r="AP86" t="s">
        <v>43</v>
      </c>
    </row>
    <row r="87" spans="1:42" x14ac:dyDescent="0.3">
      <c r="A87" t="s">
        <v>21</v>
      </c>
      <c r="B87">
        <v>16</v>
      </c>
      <c r="C87">
        <v>8</v>
      </c>
      <c r="D87">
        <v>55</v>
      </c>
      <c r="E87">
        <v>51</v>
      </c>
      <c r="F87">
        <v>2</v>
      </c>
      <c r="G87">
        <v>657</v>
      </c>
      <c r="H87">
        <v>191</v>
      </c>
      <c r="I87">
        <v>15</v>
      </c>
      <c r="J87">
        <v>10</v>
      </c>
      <c r="K87">
        <v>5</v>
      </c>
      <c r="L87">
        <v>0</v>
      </c>
      <c r="M87">
        <v>40</v>
      </c>
      <c r="N87">
        <v>15</v>
      </c>
      <c r="O87">
        <v>3</v>
      </c>
      <c r="P87">
        <v>59</v>
      </c>
      <c r="Q87">
        <v>8</v>
      </c>
      <c r="R87">
        <v>46</v>
      </c>
      <c r="S87">
        <v>0</v>
      </c>
      <c r="T87">
        <v>139</v>
      </c>
      <c r="U87">
        <v>661</v>
      </c>
      <c r="V87">
        <v>754</v>
      </c>
      <c r="W87">
        <v>16</v>
      </c>
      <c r="X87">
        <v>1363</v>
      </c>
      <c r="Y87">
        <v>800</v>
      </c>
      <c r="Z87">
        <v>1</v>
      </c>
      <c r="AA87">
        <v>6</v>
      </c>
      <c r="AB87">
        <v>4</v>
      </c>
      <c r="AC87">
        <v>16791</v>
      </c>
      <c r="AD87">
        <v>111</v>
      </c>
      <c r="AE87">
        <v>2407</v>
      </c>
      <c r="AF87">
        <v>2142</v>
      </c>
      <c r="AG87">
        <v>954</v>
      </c>
      <c r="AH87">
        <v>256</v>
      </c>
      <c r="AI87">
        <v>25438</v>
      </c>
      <c r="AJ87">
        <v>51</v>
      </c>
      <c r="AK87">
        <v>6</v>
      </c>
      <c r="AL87">
        <v>560</v>
      </c>
      <c r="AM87">
        <v>2</v>
      </c>
      <c r="AN87">
        <v>68</v>
      </c>
      <c r="AO87">
        <v>50</v>
      </c>
      <c r="AP87" t="s">
        <v>43</v>
      </c>
    </row>
    <row r="88" spans="1:42" x14ac:dyDescent="0.3">
      <c r="A88" t="s">
        <v>7</v>
      </c>
      <c r="B88">
        <v>13</v>
      </c>
      <c r="C88">
        <v>10</v>
      </c>
      <c r="D88">
        <v>51</v>
      </c>
      <c r="E88">
        <v>55</v>
      </c>
      <c r="F88">
        <v>5</v>
      </c>
      <c r="G88">
        <v>580</v>
      </c>
      <c r="H88">
        <v>181</v>
      </c>
      <c r="I88">
        <v>8</v>
      </c>
      <c r="J88">
        <v>14</v>
      </c>
      <c r="K88">
        <v>3</v>
      </c>
      <c r="L88">
        <v>2</v>
      </c>
      <c r="M88">
        <v>43</v>
      </c>
      <c r="N88">
        <v>8</v>
      </c>
      <c r="O88">
        <v>4</v>
      </c>
      <c r="P88">
        <v>78</v>
      </c>
      <c r="Q88">
        <v>9</v>
      </c>
      <c r="R88">
        <v>45</v>
      </c>
      <c r="S88">
        <v>0</v>
      </c>
      <c r="T88">
        <v>149</v>
      </c>
      <c r="U88">
        <v>470</v>
      </c>
      <c r="V88">
        <v>768</v>
      </c>
      <c r="W88">
        <v>12</v>
      </c>
      <c r="X88">
        <v>1265</v>
      </c>
      <c r="Y88">
        <v>652</v>
      </c>
      <c r="Z88">
        <v>2</v>
      </c>
      <c r="AA88">
        <v>2</v>
      </c>
      <c r="AB88">
        <v>2</v>
      </c>
      <c r="AC88">
        <v>14371</v>
      </c>
      <c r="AD88">
        <v>72</v>
      </c>
      <c r="AE88">
        <v>2232</v>
      </c>
      <c r="AF88">
        <v>2089</v>
      </c>
      <c r="AG88">
        <v>1019</v>
      </c>
      <c r="AH88">
        <v>245</v>
      </c>
      <c r="AI88">
        <v>22628</v>
      </c>
      <c r="AJ88">
        <v>47</v>
      </c>
      <c r="AK88">
        <v>2</v>
      </c>
      <c r="AL88">
        <v>525</v>
      </c>
      <c r="AM88">
        <v>0</v>
      </c>
      <c r="AN88">
        <v>51</v>
      </c>
      <c r="AO88">
        <v>30</v>
      </c>
      <c r="AP88" t="s">
        <v>43</v>
      </c>
    </row>
    <row r="89" spans="1:42" x14ac:dyDescent="0.3">
      <c r="A89" t="s">
        <v>37</v>
      </c>
      <c r="B89">
        <v>13</v>
      </c>
      <c r="C89">
        <v>18</v>
      </c>
      <c r="D89">
        <v>46</v>
      </c>
      <c r="E89">
        <v>68</v>
      </c>
      <c r="F89">
        <v>2</v>
      </c>
      <c r="G89">
        <v>482</v>
      </c>
      <c r="H89">
        <v>143</v>
      </c>
      <c r="I89">
        <v>20</v>
      </c>
      <c r="J89">
        <v>11</v>
      </c>
      <c r="K89">
        <v>3</v>
      </c>
      <c r="L89">
        <v>2</v>
      </c>
      <c r="M89">
        <v>42</v>
      </c>
      <c r="N89">
        <v>4</v>
      </c>
      <c r="O89">
        <v>4</v>
      </c>
      <c r="P89">
        <v>74</v>
      </c>
      <c r="Q89">
        <v>9</v>
      </c>
      <c r="R89">
        <v>48</v>
      </c>
      <c r="S89">
        <v>0</v>
      </c>
      <c r="T89">
        <v>156</v>
      </c>
      <c r="U89">
        <v>532</v>
      </c>
      <c r="V89">
        <v>716</v>
      </c>
      <c r="W89">
        <v>13</v>
      </c>
      <c r="X89">
        <v>1316</v>
      </c>
      <c r="Y89">
        <v>791</v>
      </c>
      <c r="Z89">
        <v>2</v>
      </c>
      <c r="AA89">
        <v>5</v>
      </c>
      <c r="AB89">
        <v>3</v>
      </c>
      <c r="AC89">
        <v>10349</v>
      </c>
      <c r="AD89">
        <v>58</v>
      </c>
      <c r="AE89">
        <v>2062</v>
      </c>
      <c r="AF89">
        <v>1382</v>
      </c>
      <c r="AG89">
        <v>766</v>
      </c>
      <c r="AH89">
        <v>191</v>
      </c>
      <c r="AI89">
        <v>18195</v>
      </c>
      <c r="AJ89">
        <v>39</v>
      </c>
      <c r="AK89">
        <v>5</v>
      </c>
      <c r="AL89">
        <v>449</v>
      </c>
      <c r="AM89">
        <v>2</v>
      </c>
      <c r="AN89">
        <v>64</v>
      </c>
      <c r="AO89">
        <v>20</v>
      </c>
      <c r="AP89" t="s">
        <v>43</v>
      </c>
    </row>
    <row r="90" spans="1:42" x14ac:dyDescent="0.3">
      <c r="A90" t="s">
        <v>6</v>
      </c>
      <c r="B90">
        <v>12</v>
      </c>
      <c r="C90">
        <v>14</v>
      </c>
      <c r="D90">
        <v>48</v>
      </c>
      <c r="E90">
        <v>71</v>
      </c>
      <c r="F90">
        <v>2</v>
      </c>
      <c r="G90">
        <v>506</v>
      </c>
      <c r="H90">
        <v>165</v>
      </c>
      <c r="I90">
        <v>19</v>
      </c>
      <c r="J90">
        <v>13</v>
      </c>
      <c r="K90">
        <v>4</v>
      </c>
      <c r="L90">
        <v>2</v>
      </c>
      <c r="M90">
        <v>42</v>
      </c>
      <c r="N90">
        <v>6</v>
      </c>
      <c r="O90">
        <v>4</v>
      </c>
      <c r="P90">
        <v>92</v>
      </c>
      <c r="Q90">
        <v>7</v>
      </c>
      <c r="R90">
        <v>59</v>
      </c>
      <c r="S90">
        <v>0</v>
      </c>
      <c r="T90">
        <v>183</v>
      </c>
      <c r="U90">
        <v>667</v>
      </c>
      <c r="V90">
        <v>844</v>
      </c>
      <c r="W90">
        <v>16</v>
      </c>
      <c r="X90">
        <v>1116</v>
      </c>
      <c r="Y90">
        <v>621</v>
      </c>
      <c r="Z90">
        <v>1</v>
      </c>
      <c r="AA90">
        <v>4</v>
      </c>
      <c r="AB90">
        <v>4</v>
      </c>
      <c r="AC90">
        <v>14611</v>
      </c>
      <c r="AD90">
        <v>123</v>
      </c>
      <c r="AE90">
        <v>1970</v>
      </c>
      <c r="AF90">
        <v>1901</v>
      </c>
      <c r="AG90">
        <v>973</v>
      </c>
      <c r="AH90">
        <v>230</v>
      </c>
      <c r="AI90">
        <v>22681</v>
      </c>
      <c r="AJ90">
        <v>57</v>
      </c>
      <c r="AK90">
        <v>7</v>
      </c>
      <c r="AL90">
        <v>350</v>
      </c>
      <c r="AM90">
        <v>0</v>
      </c>
      <c r="AN90">
        <v>30</v>
      </c>
      <c r="AO90">
        <v>25</v>
      </c>
      <c r="AP90" t="s">
        <v>43</v>
      </c>
    </row>
    <row r="91" spans="1:42" x14ac:dyDescent="0.3">
      <c r="A91" t="s">
        <v>20</v>
      </c>
      <c r="B91">
        <v>12</v>
      </c>
      <c r="C91">
        <v>16</v>
      </c>
      <c r="D91">
        <v>52</v>
      </c>
      <c r="E91">
        <v>67</v>
      </c>
      <c r="F91">
        <v>5</v>
      </c>
      <c r="G91">
        <v>570</v>
      </c>
      <c r="H91">
        <v>173</v>
      </c>
      <c r="I91">
        <v>9</v>
      </c>
      <c r="J91">
        <v>10</v>
      </c>
      <c r="K91">
        <v>4</v>
      </c>
      <c r="L91">
        <v>1</v>
      </c>
      <c r="M91">
        <v>44</v>
      </c>
      <c r="N91">
        <v>8</v>
      </c>
      <c r="O91">
        <v>3</v>
      </c>
      <c r="P91">
        <v>57</v>
      </c>
      <c r="Q91">
        <v>5</v>
      </c>
      <c r="R91">
        <v>56</v>
      </c>
      <c r="S91">
        <v>0</v>
      </c>
      <c r="T91">
        <v>150</v>
      </c>
      <c r="U91">
        <v>627</v>
      </c>
      <c r="V91">
        <v>939</v>
      </c>
      <c r="W91">
        <v>17</v>
      </c>
      <c r="X91">
        <v>1466</v>
      </c>
      <c r="Y91">
        <v>854</v>
      </c>
      <c r="Z91">
        <v>0</v>
      </c>
      <c r="AA91">
        <v>6</v>
      </c>
      <c r="AB91">
        <v>3</v>
      </c>
      <c r="AC91">
        <v>12704</v>
      </c>
      <c r="AD91">
        <v>104</v>
      </c>
      <c r="AE91">
        <v>2360</v>
      </c>
      <c r="AF91">
        <v>1579</v>
      </c>
      <c r="AG91">
        <v>850</v>
      </c>
      <c r="AH91">
        <v>197</v>
      </c>
      <c r="AI91">
        <v>21351</v>
      </c>
      <c r="AJ91">
        <v>42</v>
      </c>
      <c r="AK91">
        <v>10</v>
      </c>
      <c r="AL91">
        <v>418</v>
      </c>
      <c r="AM91">
        <v>2</v>
      </c>
      <c r="AN91">
        <v>46</v>
      </c>
      <c r="AO91">
        <v>22</v>
      </c>
      <c r="AP91" t="s">
        <v>43</v>
      </c>
    </row>
    <row r="92" spans="1:42" x14ac:dyDescent="0.3">
      <c r="A92" t="s">
        <v>29</v>
      </c>
      <c r="B92">
        <v>12</v>
      </c>
      <c r="C92">
        <v>15</v>
      </c>
      <c r="D92">
        <v>45</v>
      </c>
      <c r="E92">
        <v>57</v>
      </c>
      <c r="F92">
        <v>5</v>
      </c>
      <c r="G92">
        <v>532</v>
      </c>
      <c r="H92">
        <v>154</v>
      </c>
      <c r="I92">
        <v>10</v>
      </c>
      <c r="J92">
        <v>7</v>
      </c>
      <c r="K92">
        <v>4</v>
      </c>
      <c r="L92">
        <v>1</v>
      </c>
      <c r="M92">
        <v>40</v>
      </c>
      <c r="N92">
        <v>5</v>
      </c>
      <c r="O92">
        <v>2</v>
      </c>
      <c r="P92">
        <v>98</v>
      </c>
      <c r="Q92">
        <v>13</v>
      </c>
      <c r="R92">
        <v>56</v>
      </c>
      <c r="S92">
        <v>0</v>
      </c>
      <c r="T92">
        <v>134</v>
      </c>
      <c r="U92">
        <v>694</v>
      </c>
      <c r="V92">
        <v>820</v>
      </c>
      <c r="W92">
        <v>17</v>
      </c>
      <c r="X92">
        <v>1291</v>
      </c>
      <c r="Y92">
        <v>686</v>
      </c>
      <c r="Z92">
        <v>1</v>
      </c>
      <c r="AA92">
        <v>6</v>
      </c>
      <c r="AB92">
        <v>5</v>
      </c>
      <c r="AC92">
        <v>14166</v>
      </c>
      <c r="AD92">
        <v>129</v>
      </c>
      <c r="AE92">
        <v>2220</v>
      </c>
      <c r="AF92">
        <v>2072</v>
      </c>
      <c r="AG92">
        <v>863</v>
      </c>
      <c r="AH92">
        <v>181</v>
      </c>
      <c r="AI92">
        <v>22628</v>
      </c>
      <c r="AJ92">
        <v>35</v>
      </c>
      <c r="AK92">
        <v>16</v>
      </c>
      <c r="AL92">
        <v>441</v>
      </c>
      <c r="AM92">
        <v>0</v>
      </c>
      <c r="AN92">
        <v>62</v>
      </c>
      <c r="AO92">
        <v>40</v>
      </c>
      <c r="AP92" t="s">
        <v>43</v>
      </c>
    </row>
    <row r="93" spans="1:42" x14ac:dyDescent="0.3">
      <c r="A93" t="s">
        <v>35</v>
      </c>
      <c r="B93">
        <v>12</v>
      </c>
      <c r="C93">
        <v>15</v>
      </c>
      <c r="D93">
        <v>56</v>
      </c>
      <c r="E93">
        <v>52</v>
      </c>
      <c r="F93">
        <v>7</v>
      </c>
      <c r="G93">
        <v>597</v>
      </c>
      <c r="H93">
        <v>184</v>
      </c>
      <c r="I93">
        <v>12</v>
      </c>
      <c r="J93">
        <v>10</v>
      </c>
      <c r="K93">
        <v>4</v>
      </c>
      <c r="L93">
        <v>1</v>
      </c>
      <c r="M93">
        <v>50</v>
      </c>
      <c r="N93">
        <v>6</v>
      </c>
      <c r="O93">
        <v>3</v>
      </c>
      <c r="P93">
        <v>102</v>
      </c>
      <c r="Q93">
        <v>2</v>
      </c>
      <c r="R93">
        <v>71</v>
      </c>
      <c r="S93">
        <v>0</v>
      </c>
      <c r="T93">
        <v>126</v>
      </c>
      <c r="U93">
        <v>662</v>
      </c>
      <c r="V93">
        <v>725</v>
      </c>
      <c r="W93">
        <v>10</v>
      </c>
      <c r="X93">
        <v>1088</v>
      </c>
      <c r="Y93">
        <v>609</v>
      </c>
      <c r="Z93">
        <v>5</v>
      </c>
      <c r="AA93">
        <v>6</v>
      </c>
      <c r="AB93">
        <v>6</v>
      </c>
      <c r="AC93">
        <v>14252</v>
      </c>
      <c r="AD93">
        <v>101</v>
      </c>
      <c r="AE93">
        <v>2286</v>
      </c>
      <c r="AF93">
        <v>2138</v>
      </c>
      <c r="AG93">
        <v>807</v>
      </c>
      <c r="AH93">
        <v>187</v>
      </c>
      <c r="AI93">
        <v>22224</v>
      </c>
      <c r="AJ93">
        <v>43</v>
      </c>
      <c r="AK93">
        <v>8</v>
      </c>
      <c r="AL93">
        <v>524</v>
      </c>
      <c r="AM93">
        <v>0</v>
      </c>
      <c r="AN93">
        <v>38</v>
      </c>
      <c r="AO93">
        <v>23</v>
      </c>
      <c r="AP93" t="s">
        <v>43</v>
      </c>
    </row>
    <row r="94" spans="1:42" x14ac:dyDescent="0.3">
      <c r="A94" t="s">
        <v>13</v>
      </c>
      <c r="B94">
        <v>11</v>
      </c>
      <c r="C94">
        <v>17</v>
      </c>
      <c r="D94">
        <v>46</v>
      </c>
      <c r="E94">
        <v>65</v>
      </c>
      <c r="F94">
        <v>5</v>
      </c>
      <c r="G94">
        <v>453</v>
      </c>
      <c r="H94">
        <v>135</v>
      </c>
      <c r="I94">
        <v>10</v>
      </c>
      <c r="J94">
        <v>9</v>
      </c>
      <c r="K94">
        <v>1</v>
      </c>
      <c r="L94">
        <v>2</v>
      </c>
      <c r="M94">
        <v>39</v>
      </c>
      <c r="N94">
        <v>7</v>
      </c>
      <c r="O94">
        <v>1</v>
      </c>
      <c r="P94">
        <v>87</v>
      </c>
      <c r="Q94">
        <v>8</v>
      </c>
      <c r="R94">
        <v>59</v>
      </c>
      <c r="S94">
        <v>0</v>
      </c>
      <c r="T94">
        <v>183</v>
      </c>
      <c r="U94">
        <v>734</v>
      </c>
      <c r="V94">
        <v>748</v>
      </c>
      <c r="W94">
        <v>11</v>
      </c>
      <c r="X94">
        <v>1521</v>
      </c>
      <c r="Y94">
        <v>799</v>
      </c>
      <c r="Z94">
        <v>1</v>
      </c>
      <c r="AA94">
        <v>8</v>
      </c>
      <c r="AB94">
        <v>6</v>
      </c>
      <c r="AC94">
        <v>11178</v>
      </c>
      <c r="AD94">
        <v>54</v>
      </c>
      <c r="AE94">
        <v>2057</v>
      </c>
      <c r="AF94">
        <v>1558</v>
      </c>
      <c r="AG94">
        <v>821</v>
      </c>
      <c r="AH94">
        <v>173</v>
      </c>
      <c r="AI94">
        <v>19421</v>
      </c>
      <c r="AJ94">
        <v>44</v>
      </c>
      <c r="AK94">
        <v>8</v>
      </c>
      <c r="AL94">
        <v>357</v>
      </c>
      <c r="AM94">
        <v>0</v>
      </c>
      <c r="AN94">
        <v>50</v>
      </c>
      <c r="AO94">
        <v>26</v>
      </c>
      <c r="AP94" t="s">
        <v>43</v>
      </c>
    </row>
    <row r="95" spans="1:42" x14ac:dyDescent="0.3">
      <c r="A95" t="s">
        <v>23</v>
      </c>
      <c r="B95">
        <v>11</v>
      </c>
      <c r="C95">
        <v>11</v>
      </c>
      <c r="D95">
        <v>49</v>
      </c>
      <c r="E95">
        <v>52</v>
      </c>
      <c r="F95">
        <v>1</v>
      </c>
      <c r="G95">
        <v>547</v>
      </c>
      <c r="H95">
        <v>172</v>
      </c>
      <c r="I95">
        <v>10</v>
      </c>
      <c r="J95">
        <v>15</v>
      </c>
      <c r="K95">
        <v>2</v>
      </c>
      <c r="L95">
        <v>2</v>
      </c>
      <c r="M95">
        <v>42</v>
      </c>
      <c r="N95">
        <v>7</v>
      </c>
      <c r="O95">
        <v>2</v>
      </c>
      <c r="P95">
        <v>100</v>
      </c>
      <c r="Q95">
        <v>14</v>
      </c>
      <c r="R95">
        <v>43</v>
      </c>
      <c r="S95">
        <v>0</v>
      </c>
      <c r="T95">
        <v>120</v>
      </c>
      <c r="U95">
        <v>668</v>
      </c>
      <c r="V95">
        <v>799</v>
      </c>
      <c r="W95">
        <v>5</v>
      </c>
      <c r="X95">
        <v>1513</v>
      </c>
      <c r="Y95">
        <v>878</v>
      </c>
      <c r="Z95">
        <v>5</v>
      </c>
      <c r="AA95">
        <v>1</v>
      </c>
      <c r="AB95">
        <v>0</v>
      </c>
      <c r="AC95">
        <v>16345</v>
      </c>
      <c r="AD95">
        <v>119</v>
      </c>
      <c r="AE95">
        <v>2059</v>
      </c>
      <c r="AF95">
        <v>2563</v>
      </c>
      <c r="AG95">
        <v>865</v>
      </c>
      <c r="AH95">
        <v>191</v>
      </c>
      <c r="AI95">
        <v>24796</v>
      </c>
      <c r="AJ95">
        <v>38</v>
      </c>
      <c r="AK95">
        <v>12</v>
      </c>
      <c r="AL95">
        <v>559</v>
      </c>
      <c r="AM95">
        <v>1</v>
      </c>
      <c r="AN95">
        <v>82</v>
      </c>
      <c r="AO95">
        <v>37</v>
      </c>
      <c r="AP95" t="s">
        <v>43</v>
      </c>
    </row>
    <row r="96" spans="1:42" x14ac:dyDescent="0.3">
      <c r="A96" t="s">
        <v>10</v>
      </c>
      <c r="B96">
        <v>11</v>
      </c>
      <c r="C96">
        <v>14</v>
      </c>
      <c r="D96">
        <v>56</v>
      </c>
      <c r="E96">
        <v>78</v>
      </c>
      <c r="F96">
        <v>2</v>
      </c>
      <c r="G96">
        <v>507</v>
      </c>
      <c r="H96">
        <v>168</v>
      </c>
      <c r="I96">
        <v>10</v>
      </c>
      <c r="J96">
        <v>15</v>
      </c>
      <c r="K96">
        <v>5</v>
      </c>
      <c r="L96">
        <v>0</v>
      </c>
      <c r="M96">
        <v>50</v>
      </c>
      <c r="N96">
        <v>6</v>
      </c>
      <c r="O96">
        <v>1</v>
      </c>
      <c r="P96">
        <v>82</v>
      </c>
      <c r="Q96">
        <v>9</v>
      </c>
      <c r="R96">
        <v>57</v>
      </c>
      <c r="S96">
        <v>0</v>
      </c>
      <c r="T96">
        <v>134</v>
      </c>
      <c r="U96">
        <v>608</v>
      </c>
      <c r="V96">
        <v>666</v>
      </c>
      <c r="W96">
        <v>11</v>
      </c>
      <c r="X96">
        <v>1025</v>
      </c>
      <c r="Y96">
        <v>598</v>
      </c>
      <c r="Z96">
        <v>2</v>
      </c>
      <c r="AA96">
        <v>6</v>
      </c>
      <c r="AB96">
        <v>5</v>
      </c>
      <c r="AC96">
        <v>14194</v>
      </c>
      <c r="AD96">
        <v>95</v>
      </c>
      <c r="AE96">
        <v>2104</v>
      </c>
      <c r="AF96">
        <v>2041</v>
      </c>
      <c r="AG96">
        <v>1022</v>
      </c>
      <c r="AH96">
        <v>202</v>
      </c>
      <c r="AI96">
        <v>22108</v>
      </c>
      <c r="AJ96">
        <v>62</v>
      </c>
      <c r="AK96">
        <v>7</v>
      </c>
      <c r="AL96">
        <v>527</v>
      </c>
      <c r="AM96">
        <v>0</v>
      </c>
      <c r="AN96">
        <v>56</v>
      </c>
      <c r="AO96">
        <v>26</v>
      </c>
      <c r="AP96" t="s">
        <v>43</v>
      </c>
    </row>
    <row r="97" spans="1:42" x14ac:dyDescent="0.3">
      <c r="A97" t="s">
        <v>41</v>
      </c>
      <c r="B97">
        <v>11</v>
      </c>
      <c r="C97">
        <v>20</v>
      </c>
      <c r="D97">
        <v>46</v>
      </c>
      <c r="E97">
        <v>62</v>
      </c>
      <c r="F97">
        <v>2</v>
      </c>
      <c r="G97">
        <v>459</v>
      </c>
      <c r="H97">
        <v>139</v>
      </c>
      <c r="I97">
        <v>14</v>
      </c>
      <c r="J97">
        <v>10</v>
      </c>
      <c r="K97">
        <v>3</v>
      </c>
      <c r="L97">
        <v>1</v>
      </c>
      <c r="M97">
        <v>41</v>
      </c>
      <c r="N97">
        <v>5</v>
      </c>
      <c r="O97">
        <v>1</v>
      </c>
      <c r="P97">
        <v>93</v>
      </c>
      <c r="Q97">
        <v>5</v>
      </c>
      <c r="R97">
        <v>66</v>
      </c>
      <c r="S97">
        <v>0</v>
      </c>
      <c r="T97">
        <v>151</v>
      </c>
      <c r="U97">
        <v>520</v>
      </c>
      <c r="V97">
        <v>677</v>
      </c>
      <c r="W97">
        <v>11</v>
      </c>
      <c r="X97">
        <v>1205</v>
      </c>
      <c r="Y97">
        <v>663</v>
      </c>
      <c r="Z97">
        <v>2</v>
      </c>
      <c r="AA97">
        <v>4</v>
      </c>
      <c r="AB97">
        <v>4</v>
      </c>
      <c r="AC97">
        <v>14823</v>
      </c>
      <c r="AD97">
        <v>82</v>
      </c>
      <c r="AE97">
        <v>2350</v>
      </c>
      <c r="AF97">
        <v>2256</v>
      </c>
      <c r="AG97">
        <v>1104</v>
      </c>
      <c r="AH97">
        <v>241</v>
      </c>
      <c r="AI97">
        <v>22772</v>
      </c>
      <c r="AJ97">
        <v>29</v>
      </c>
      <c r="AK97">
        <v>7</v>
      </c>
      <c r="AL97">
        <v>426</v>
      </c>
      <c r="AM97">
        <v>0</v>
      </c>
      <c r="AN97">
        <v>84</v>
      </c>
      <c r="AO97">
        <v>19</v>
      </c>
      <c r="AP97" t="s">
        <v>43</v>
      </c>
    </row>
    <row r="98" spans="1:42" x14ac:dyDescent="0.3">
      <c r="A98" t="s">
        <v>44</v>
      </c>
      <c r="B98">
        <v>10</v>
      </c>
      <c r="C98">
        <v>19</v>
      </c>
      <c r="D98">
        <v>55</v>
      </c>
      <c r="E98">
        <v>47</v>
      </c>
      <c r="F98">
        <v>2</v>
      </c>
      <c r="G98">
        <v>531</v>
      </c>
      <c r="H98">
        <v>161</v>
      </c>
      <c r="I98">
        <v>11</v>
      </c>
      <c r="J98">
        <v>8</v>
      </c>
      <c r="K98">
        <v>7</v>
      </c>
      <c r="L98">
        <v>3</v>
      </c>
      <c r="M98">
        <v>44</v>
      </c>
      <c r="N98">
        <v>11</v>
      </c>
      <c r="O98">
        <v>3</v>
      </c>
      <c r="P98">
        <v>97</v>
      </c>
      <c r="Q98">
        <v>6</v>
      </c>
      <c r="R98">
        <v>78</v>
      </c>
      <c r="S98">
        <v>3</v>
      </c>
      <c r="T98">
        <v>206</v>
      </c>
      <c r="U98">
        <v>451</v>
      </c>
      <c r="V98">
        <v>780</v>
      </c>
      <c r="W98">
        <v>7</v>
      </c>
      <c r="X98">
        <v>1616</v>
      </c>
      <c r="Y98">
        <v>860</v>
      </c>
      <c r="Z98">
        <v>5</v>
      </c>
      <c r="AA98">
        <v>3</v>
      </c>
      <c r="AB98">
        <v>2</v>
      </c>
      <c r="AC98">
        <v>15113</v>
      </c>
      <c r="AD98">
        <v>75</v>
      </c>
      <c r="AE98">
        <v>2582</v>
      </c>
      <c r="AF98">
        <v>2543</v>
      </c>
      <c r="AG98">
        <v>836</v>
      </c>
      <c r="AH98">
        <v>183</v>
      </c>
      <c r="AI98">
        <v>23616</v>
      </c>
      <c r="AJ98">
        <v>46</v>
      </c>
      <c r="AK98">
        <v>16</v>
      </c>
      <c r="AL98">
        <v>499</v>
      </c>
      <c r="AM98">
        <v>0</v>
      </c>
      <c r="AN98">
        <v>49</v>
      </c>
      <c r="AO98">
        <v>29</v>
      </c>
      <c r="AP98" t="s">
        <v>43</v>
      </c>
    </row>
    <row r="99" spans="1:42" x14ac:dyDescent="0.3">
      <c r="A99" t="s">
        <v>11</v>
      </c>
      <c r="B99">
        <v>9</v>
      </c>
      <c r="C99">
        <v>14</v>
      </c>
      <c r="D99">
        <v>40</v>
      </c>
      <c r="E99">
        <v>67</v>
      </c>
      <c r="F99">
        <v>4</v>
      </c>
      <c r="G99">
        <v>511</v>
      </c>
      <c r="H99">
        <v>170</v>
      </c>
      <c r="I99">
        <v>9</v>
      </c>
      <c r="J99">
        <v>3</v>
      </c>
      <c r="K99">
        <v>2</v>
      </c>
      <c r="L99">
        <v>5</v>
      </c>
      <c r="M99">
        <v>32</v>
      </c>
      <c r="N99">
        <v>8</v>
      </c>
      <c r="O99">
        <v>5</v>
      </c>
      <c r="P99">
        <v>71</v>
      </c>
      <c r="Q99">
        <v>7</v>
      </c>
      <c r="R99">
        <v>61</v>
      </c>
      <c r="S99">
        <v>0</v>
      </c>
      <c r="T99">
        <v>116</v>
      </c>
      <c r="U99">
        <v>763</v>
      </c>
      <c r="V99">
        <v>914</v>
      </c>
      <c r="W99">
        <v>20</v>
      </c>
      <c r="X99">
        <v>1196</v>
      </c>
      <c r="Y99">
        <v>628</v>
      </c>
      <c r="Z99">
        <v>0</v>
      </c>
      <c r="AA99">
        <v>6</v>
      </c>
      <c r="AB99">
        <v>4</v>
      </c>
      <c r="AC99">
        <v>15180</v>
      </c>
      <c r="AD99">
        <v>111</v>
      </c>
      <c r="AE99">
        <v>2217</v>
      </c>
      <c r="AF99">
        <v>2183</v>
      </c>
      <c r="AG99">
        <v>620</v>
      </c>
      <c r="AH99">
        <v>169</v>
      </c>
      <c r="AI99">
        <v>23517</v>
      </c>
      <c r="AJ99">
        <v>39</v>
      </c>
      <c r="AK99">
        <v>5</v>
      </c>
      <c r="AL99">
        <v>540</v>
      </c>
      <c r="AM99">
        <v>1</v>
      </c>
      <c r="AN99">
        <v>50</v>
      </c>
      <c r="AO99">
        <v>25</v>
      </c>
      <c r="AP99" t="s">
        <v>43</v>
      </c>
    </row>
    <row r="100" spans="1:42" x14ac:dyDescent="0.3">
      <c r="A100" t="s">
        <v>32</v>
      </c>
      <c r="B100">
        <v>8</v>
      </c>
      <c r="C100">
        <v>15</v>
      </c>
      <c r="D100">
        <v>37</v>
      </c>
      <c r="E100">
        <v>57</v>
      </c>
      <c r="F100">
        <v>3</v>
      </c>
      <c r="G100">
        <v>401</v>
      </c>
      <c r="H100">
        <v>121</v>
      </c>
      <c r="I100">
        <v>11</v>
      </c>
      <c r="J100">
        <v>10</v>
      </c>
      <c r="K100">
        <v>2</v>
      </c>
      <c r="L100">
        <v>0</v>
      </c>
      <c r="M100">
        <v>34</v>
      </c>
      <c r="N100">
        <v>3</v>
      </c>
      <c r="O100">
        <v>1</v>
      </c>
      <c r="P100">
        <v>91</v>
      </c>
      <c r="Q100">
        <v>9</v>
      </c>
      <c r="R100">
        <v>58</v>
      </c>
      <c r="S100">
        <v>0</v>
      </c>
      <c r="T100">
        <v>179</v>
      </c>
      <c r="U100">
        <v>573</v>
      </c>
      <c r="V100">
        <v>668</v>
      </c>
      <c r="W100">
        <v>7</v>
      </c>
      <c r="X100">
        <v>1261</v>
      </c>
      <c r="Y100">
        <v>771</v>
      </c>
      <c r="Z100">
        <v>4</v>
      </c>
      <c r="AA100">
        <v>6</v>
      </c>
      <c r="AB100">
        <v>5</v>
      </c>
      <c r="AC100">
        <v>14036</v>
      </c>
      <c r="AD100">
        <v>82</v>
      </c>
      <c r="AE100">
        <v>2657</v>
      </c>
      <c r="AF100">
        <v>2221</v>
      </c>
      <c r="AG100">
        <v>784</v>
      </c>
      <c r="AH100">
        <v>150</v>
      </c>
      <c r="AI100">
        <v>21652</v>
      </c>
      <c r="AJ100">
        <v>30</v>
      </c>
      <c r="AK100">
        <v>9</v>
      </c>
      <c r="AL100">
        <v>375</v>
      </c>
      <c r="AM100">
        <v>1</v>
      </c>
      <c r="AN100">
        <v>71</v>
      </c>
      <c r="AO100">
        <v>21</v>
      </c>
      <c r="AP100" t="s">
        <v>43</v>
      </c>
    </row>
    <row r="101" spans="1:42" x14ac:dyDescent="0.3">
      <c r="A101" t="s">
        <v>18</v>
      </c>
      <c r="B101">
        <v>7</v>
      </c>
      <c r="C101">
        <v>19</v>
      </c>
      <c r="D101">
        <v>43</v>
      </c>
      <c r="E101">
        <v>59</v>
      </c>
      <c r="F101">
        <v>1</v>
      </c>
      <c r="G101">
        <v>572</v>
      </c>
      <c r="H101">
        <v>174</v>
      </c>
      <c r="I101">
        <v>18</v>
      </c>
      <c r="J101">
        <v>9</v>
      </c>
      <c r="K101">
        <v>5</v>
      </c>
      <c r="L101">
        <v>0</v>
      </c>
      <c r="M101">
        <v>38</v>
      </c>
      <c r="N101">
        <v>5</v>
      </c>
      <c r="O101">
        <v>1</v>
      </c>
      <c r="P101">
        <v>120</v>
      </c>
      <c r="Q101">
        <v>5</v>
      </c>
      <c r="R101">
        <v>70</v>
      </c>
      <c r="S101">
        <v>0</v>
      </c>
      <c r="T101">
        <v>184</v>
      </c>
      <c r="U101">
        <v>583</v>
      </c>
      <c r="V101">
        <v>783</v>
      </c>
      <c r="W101">
        <v>13</v>
      </c>
      <c r="X101">
        <v>1353</v>
      </c>
      <c r="Y101">
        <v>723</v>
      </c>
      <c r="Z101">
        <v>2</v>
      </c>
      <c r="AA101">
        <v>6</v>
      </c>
      <c r="AB101">
        <v>5</v>
      </c>
      <c r="AC101">
        <v>13367</v>
      </c>
      <c r="AD101">
        <v>126</v>
      </c>
      <c r="AE101">
        <v>2126</v>
      </c>
      <c r="AF101">
        <v>1903</v>
      </c>
      <c r="AG101">
        <v>814</v>
      </c>
      <c r="AH101">
        <v>181</v>
      </c>
      <c r="AI101">
        <v>21823</v>
      </c>
      <c r="AJ101">
        <v>44</v>
      </c>
      <c r="AK101">
        <v>9</v>
      </c>
      <c r="AL101">
        <v>574</v>
      </c>
      <c r="AM101">
        <v>1</v>
      </c>
      <c r="AN101">
        <v>39</v>
      </c>
      <c r="AO101">
        <v>41</v>
      </c>
      <c r="AP101" t="s">
        <v>43</v>
      </c>
    </row>
    <row r="102" spans="1:42" x14ac:dyDescent="0.3">
      <c r="A102" t="s">
        <v>26</v>
      </c>
      <c r="B102">
        <v>28</v>
      </c>
      <c r="C102">
        <v>5</v>
      </c>
      <c r="D102">
        <v>93</v>
      </c>
      <c r="E102">
        <v>51</v>
      </c>
      <c r="F102">
        <v>5</v>
      </c>
      <c r="G102">
        <v>738</v>
      </c>
      <c r="H102">
        <v>250</v>
      </c>
      <c r="I102">
        <v>21</v>
      </c>
      <c r="J102">
        <v>10</v>
      </c>
      <c r="K102">
        <v>7</v>
      </c>
      <c r="L102">
        <v>1</v>
      </c>
      <c r="M102">
        <v>73</v>
      </c>
      <c r="N102">
        <v>20</v>
      </c>
      <c r="O102">
        <v>6</v>
      </c>
      <c r="P102">
        <v>85</v>
      </c>
      <c r="Q102">
        <v>17</v>
      </c>
      <c r="R102">
        <v>29</v>
      </c>
      <c r="S102">
        <v>1</v>
      </c>
      <c r="T102">
        <v>111</v>
      </c>
      <c r="U102">
        <v>631</v>
      </c>
      <c r="V102">
        <v>694</v>
      </c>
      <c r="W102">
        <v>6</v>
      </c>
      <c r="X102">
        <v>930</v>
      </c>
      <c r="Y102">
        <v>525</v>
      </c>
      <c r="Z102">
        <v>2</v>
      </c>
      <c r="AA102">
        <v>3</v>
      </c>
      <c r="AB102">
        <v>2</v>
      </c>
      <c r="AC102">
        <v>20863</v>
      </c>
      <c r="AD102">
        <v>321</v>
      </c>
      <c r="AE102">
        <v>1734</v>
      </c>
      <c r="AF102">
        <v>2937</v>
      </c>
      <c r="AG102">
        <v>843</v>
      </c>
      <c r="AH102">
        <v>269</v>
      </c>
      <c r="AI102">
        <v>28620</v>
      </c>
      <c r="AJ102">
        <v>65</v>
      </c>
      <c r="AK102">
        <v>6</v>
      </c>
      <c r="AL102">
        <v>480</v>
      </c>
      <c r="AM102">
        <v>1</v>
      </c>
      <c r="AN102">
        <v>39</v>
      </c>
      <c r="AO102">
        <v>21</v>
      </c>
      <c r="AP102" t="s">
        <v>45</v>
      </c>
    </row>
    <row r="103" spans="1:42" x14ac:dyDescent="0.3">
      <c r="A103" t="s">
        <v>22</v>
      </c>
      <c r="B103">
        <v>28</v>
      </c>
      <c r="C103">
        <v>5</v>
      </c>
      <c r="D103">
        <v>89</v>
      </c>
      <c r="E103">
        <v>51</v>
      </c>
      <c r="F103">
        <v>1</v>
      </c>
      <c r="G103">
        <v>646</v>
      </c>
      <c r="H103">
        <v>243</v>
      </c>
      <c r="I103">
        <v>17</v>
      </c>
      <c r="J103">
        <v>16</v>
      </c>
      <c r="K103">
        <v>9</v>
      </c>
      <c r="L103">
        <v>2</v>
      </c>
      <c r="M103">
        <v>74</v>
      </c>
      <c r="N103">
        <v>15</v>
      </c>
      <c r="O103">
        <v>2</v>
      </c>
      <c r="P103">
        <v>89</v>
      </c>
      <c r="Q103">
        <v>20</v>
      </c>
      <c r="R103">
        <v>33</v>
      </c>
      <c r="S103">
        <v>0</v>
      </c>
      <c r="T103">
        <v>138</v>
      </c>
      <c r="U103">
        <v>574</v>
      </c>
      <c r="V103">
        <v>803</v>
      </c>
      <c r="W103">
        <v>6</v>
      </c>
      <c r="X103">
        <v>1165</v>
      </c>
      <c r="Y103">
        <v>749</v>
      </c>
      <c r="Z103">
        <v>2</v>
      </c>
      <c r="AA103">
        <v>3</v>
      </c>
      <c r="AB103">
        <v>2</v>
      </c>
      <c r="AC103">
        <v>20184</v>
      </c>
      <c r="AD103">
        <v>103</v>
      </c>
      <c r="AE103">
        <v>2189</v>
      </c>
      <c r="AF103">
        <v>2765</v>
      </c>
      <c r="AG103">
        <v>1018</v>
      </c>
      <c r="AH103">
        <v>279</v>
      </c>
      <c r="AI103">
        <v>28113</v>
      </c>
      <c r="AJ103">
        <v>64</v>
      </c>
      <c r="AK103">
        <v>3</v>
      </c>
      <c r="AL103">
        <v>521</v>
      </c>
      <c r="AM103">
        <v>1</v>
      </c>
      <c r="AN103">
        <v>37</v>
      </c>
      <c r="AO103">
        <v>26</v>
      </c>
      <c r="AP103" t="s">
        <v>45</v>
      </c>
    </row>
    <row r="104" spans="1:42" x14ac:dyDescent="0.3">
      <c r="A104" t="s">
        <v>5</v>
      </c>
      <c r="B104">
        <v>21</v>
      </c>
      <c r="C104">
        <v>10</v>
      </c>
      <c r="D104">
        <v>74</v>
      </c>
      <c r="E104">
        <v>64</v>
      </c>
      <c r="F104">
        <v>4</v>
      </c>
      <c r="G104">
        <v>637</v>
      </c>
      <c r="H104">
        <v>236</v>
      </c>
      <c r="I104">
        <v>15</v>
      </c>
      <c r="J104">
        <v>9</v>
      </c>
      <c r="K104">
        <v>2</v>
      </c>
      <c r="L104">
        <v>2</v>
      </c>
      <c r="M104">
        <v>64</v>
      </c>
      <c r="N104">
        <v>10</v>
      </c>
      <c r="O104">
        <v>9</v>
      </c>
      <c r="P104">
        <v>88</v>
      </c>
      <c r="Q104">
        <v>13</v>
      </c>
      <c r="R104">
        <v>49</v>
      </c>
      <c r="S104">
        <v>0</v>
      </c>
      <c r="T104">
        <v>93</v>
      </c>
      <c r="U104">
        <v>605</v>
      </c>
      <c r="V104">
        <v>751</v>
      </c>
      <c r="W104">
        <v>25</v>
      </c>
      <c r="X104">
        <v>766</v>
      </c>
      <c r="Y104">
        <v>411</v>
      </c>
      <c r="Z104">
        <v>5</v>
      </c>
      <c r="AA104">
        <v>4</v>
      </c>
      <c r="AB104">
        <v>3</v>
      </c>
      <c r="AC104">
        <v>20599</v>
      </c>
      <c r="AD104">
        <v>294</v>
      </c>
      <c r="AE104">
        <v>1665</v>
      </c>
      <c r="AF104">
        <v>2754</v>
      </c>
      <c r="AG104">
        <v>896</v>
      </c>
      <c r="AH104">
        <v>262</v>
      </c>
      <c r="AI104">
        <v>28338</v>
      </c>
      <c r="AJ104">
        <v>74</v>
      </c>
      <c r="AK104">
        <v>3</v>
      </c>
      <c r="AL104">
        <v>587</v>
      </c>
      <c r="AM104">
        <v>1</v>
      </c>
      <c r="AN104">
        <v>52</v>
      </c>
      <c r="AO104">
        <v>27</v>
      </c>
      <c r="AP104" t="s">
        <v>45</v>
      </c>
    </row>
    <row r="105" spans="1:42" x14ac:dyDescent="0.3">
      <c r="A105" t="s">
        <v>21</v>
      </c>
      <c r="B105">
        <v>20</v>
      </c>
      <c r="C105">
        <v>9</v>
      </c>
      <c r="D105">
        <v>66</v>
      </c>
      <c r="E105">
        <v>43</v>
      </c>
      <c r="F105">
        <v>3</v>
      </c>
      <c r="G105">
        <v>701</v>
      </c>
      <c r="H105">
        <v>230</v>
      </c>
      <c r="I105">
        <v>12</v>
      </c>
      <c r="J105">
        <v>5</v>
      </c>
      <c r="K105">
        <v>4</v>
      </c>
      <c r="L105">
        <v>1</v>
      </c>
      <c r="M105">
        <v>52</v>
      </c>
      <c r="N105">
        <v>14</v>
      </c>
      <c r="O105">
        <v>5</v>
      </c>
      <c r="P105">
        <v>93</v>
      </c>
      <c r="Q105">
        <v>14</v>
      </c>
      <c r="R105">
        <v>41</v>
      </c>
      <c r="S105">
        <v>0</v>
      </c>
      <c r="T105">
        <v>122</v>
      </c>
      <c r="U105">
        <v>716</v>
      </c>
      <c r="V105">
        <v>733</v>
      </c>
      <c r="W105">
        <v>12</v>
      </c>
      <c r="X105">
        <v>1045</v>
      </c>
      <c r="Y105">
        <v>561</v>
      </c>
      <c r="Z105">
        <v>1</v>
      </c>
      <c r="AA105">
        <v>1</v>
      </c>
      <c r="AB105">
        <v>1</v>
      </c>
      <c r="AC105">
        <v>19564</v>
      </c>
      <c r="AD105">
        <v>164</v>
      </c>
      <c r="AE105">
        <v>2323</v>
      </c>
      <c r="AF105">
        <v>2944</v>
      </c>
      <c r="AG105">
        <v>846</v>
      </c>
      <c r="AH105">
        <v>279</v>
      </c>
      <c r="AI105">
        <v>27761</v>
      </c>
      <c r="AJ105">
        <v>62</v>
      </c>
      <c r="AK105">
        <v>6</v>
      </c>
      <c r="AL105">
        <v>539</v>
      </c>
      <c r="AM105">
        <v>0</v>
      </c>
      <c r="AN105">
        <v>28</v>
      </c>
      <c r="AO105">
        <v>12</v>
      </c>
      <c r="AP105" t="s">
        <v>45</v>
      </c>
    </row>
    <row r="106" spans="1:42" x14ac:dyDescent="0.3">
      <c r="A106" t="s">
        <v>10</v>
      </c>
      <c r="B106">
        <v>19</v>
      </c>
      <c r="C106">
        <v>11</v>
      </c>
      <c r="D106">
        <v>56</v>
      </c>
      <c r="E106">
        <v>67</v>
      </c>
      <c r="F106">
        <v>2</v>
      </c>
      <c r="G106">
        <v>489</v>
      </c>
      <c r="H106">
        <v>154</v>
      </c>
      <c r="I106">
        <v>19</v>
      </c>
      <c r="J106">
        <v>6</v>
      </c>
      <c r="K106">
        <v>2</v>
      </c>
      <c r="L106">
        <v>3</v>
      </c>
      <c r="M106">
        <v>44</v>
      </c>
      <c r="N106">
        <v>12</v>
      </c>
      <c r="O106">
        <v>4</v>
      </c>
      <c r="P106">
        <v>97</v>
      </c>
      <c r="Q106">
        <v>15</v>
      </c>
      <c r="R106">
        <v>51</v>
      </c>
      <c r="S106">
        <v>1</v>
      </c>
      <c r="T106">
        <v>143</v>
      </c>
      <c r="U106">
        <v>621</v>
      </c>
      <c r="V106">
        <v>744</v>
      </c>
      <c r="W106">
        <v>8</v>
      </c>
      <c r="X106">
        <v>987</v>
      </c>
      <c r="Y106">
        <v>475</v>
      </c>
      <c r="Z106">
        <v>0</v>
      </c>
      <c r="AA106">
        <v>9</v>
      </c>
      <c r="AB106">
        <v>7</v>
      </c>
      <c r="AC106">
        <v>14638</v>
      </c>
      <c r="AD106">
        <v>97</v>
      </c>
      <c r="AE106">
        <v>2130</v>
      </c>
      <c r="AF106">
        <v>2384</v>
      </c>
      <c r="AG106">
        <v>730</v>
      </c>
      <c r="AH106">
        <v>171</v>
      </c>
      <c r="AI106">
        <v>22210</v>
      </c>
      <c r="AJ106">
        <v>27</v>
      </c>
      <c r="AK106">
        <v>12</v>
      </c>
      <c r="AL106">
        <v>592</v>
      </c>
      <c r="AM106">
        <v>2</v>
      </c>
      <c r="AN106">
        <v>59</v>
      </c>
      <c r="AO106">
        <v>23</v>
      </c>
      <c r="AP106" t="s">
        <v>45</v>
      </c>
    </row>
    <row r="107" spans="1:42" x14ac:dyDescent="0.3">
      <c r="A107" t="s">
        <v>25</v>
      </c>
      <c r="B107">
        <v>18</v>
      </c>
      <c r="C107">
        <v>10</v>
      </c>
      <c r="D107">
        <v>65</v>
      </c>
      <c r="E107">
        <v>74</v>
      </c>
      <c r="F107">
        <v>4</v>
      </c>
      <c r="G107">
        <v>671</v>
      </c>
      <c r="H107">
        <v>224</v>
      </c>
      <c r="I107">
        <v>20</v>
      </c>
      <c r="J107">
        <v>12</v>
      </c>
      <c r="K107">
        <v>4</v>
      </c>
      <c r="L107">
        <v>0</v>
      </c>
      <c r="M107">
        <v>60</v>
      </c>
      <c r="N107">
        <v>5</v>
      </c>
      <c r="O107">
        <v>2</v>
      </c>
      <c r="P107">
        <v>70</v>
      </c>
      <c r="Q107">
        <v>10</v>
      </c>
      <c r="R107">
        <v>46</v>
      </c>
      <c r="S107">
        <v>1</v>
      </c>
      <c r="T107">
        <v>111</v>
      </c>
      <c r="U107">
        <v>637</v>
      </c>
      <c r="V107">
        <v>698</v>
      </c>
      <c r="W107">
        <v>5</v>
      </c>
      <c r="X107">
        <v>881</v>
      </c>
      <c r="Y107">
        <v>477</v>
      </c>
      <c r="Z107">
        <v>1</v>
      </c>
      <c r="AA107">
        <v>6</v>
      </c>
      <c r="AB107">
        <v>4</v>
      </c>
      <c r="AC107">
        <v>18766</v>
      </c>
      <c r="AD107">
        <v>158</v>
      </c>
      <c r="AE107">
        <v>2021</v>
      </c>
      <c r="AF107">
        <v>2886</v>
      </c>
      <c r="AG107">
        <v>972</v>
      </c>
      <c r="AH107">
        <v>253</v>
      </c>
      <c r="AI107">
        <v>26276</v>
      </c>
      <c r="AJ107">
        <v>37</v>
      </c>
      <c r="AK107">
        <v>10</v>
      </c>
      <c r="AL107">
        <v>571</v>
      </c>
      <c r="AM107">
        <v>0</v>
      </c>
      <c r="AN107">
        <v>70</v>
      </c>
      <c r="AO107">
        <v>17</v>
      </c>
      <c r="AP107" t="s">
        <v>45</v>
      </c>
    </row>
    <row r="108" spans="1:42" x14ac:dyDescent="0.3">
      <c r="A108" t="s">
        <v>7</v>
      </c>
      <c r="B108">
        <v>15</v>
      </c>
      <c r="C108">
        <v>12</v>
      </c>
      <c r="D108">
        <v>50</v>
      </c>
      <c r="E108">
        <v>60</v>
      </c>
      <c r="F108">
        <v>2</v>
      </c>
      <c r="G108">
        <v>520</v>
      </c>
      <c r="H108">
        <v>164</v>
      </c>
      <c r="I108">
        <v>12</v>
      </c>
      <c r="J108">
        <v>9</v>
      </c>
      <c r="K108">
        <v>5</v>
      </c>
      <c r="L108">
        <v>1</v>
      </c>
      <c r="M108">
        <v>42</v>
      </c>
      <c r="N108">
        <v>8</v>
      </c>
      <c r="O108">
        <v>1</v>
      </c>
      <c r="P108">
        <v>116</v>
      </c>
      <c r="Q108">
        <v>12</v>
      </c>
      <c r="R108">
        <v>40</v>
      </c>
      <c r="S108">
        <v>2</v>
      </c>
      <c r="T108">
        <v>145</v>
      </c>
      <c r="U108">
        <v>617</v>
      </c>
      <c r="V108">
        <v>624</v>
      </c>
      <c r="W108">
        <v>6</v>
      </c>
      <c r="X108">
        <v>1130</v>
      </c>
      <c r="Y108">
        <v>555</v>
      </c>
      <c r="Z108">
        <v>3</v>
      </c>
      <c r="AA108">
        <v>4</v>
      </c>
      <c r="AB108">
        <v>1</v>
      </c>
      <c r="AC108">
        <v>15063</v>
      </c>
      <c r="AD108">
        <v>67</v>
      </c>
      <c r="AE108">
        <v>2048</v>
      </c>
      <c r="AF108">
        <v>2108</v>
      </c>
      <c r="AG108">
        <v>877</v>
      </c>
      <c r="AH108">
        <v>180</v>
      </c>
      <c r="AI108">
        <v>22706</v>
      </c>
      <c r="AJ108">
        <v>43</v>
      </c>
      <c r="AK108">
        <v>2</v>
      </c>
      <c r="AL108">
        <v>487</v>
      </c>
      <c r="AM108">
        <v>2</v>
      </c>
      <c r="AN108">
        <v>57</v>
      </c>
      <c r="AO108">
        <v>25</v>
      </c>
      <c r="AP108" t="s">
        <v>45</v>
      </c>
    </row>
    <row r="109" spans="1:42" x14ac:dyDescent="0.3">
      <c r="A109" t="s">
        <v>23</v>
      </c>
      <c r="B109">
        <v>14</v>
      </c>
      <c r="C109">
        <v>14</v>
      </c>
      <c r="D109">
        <v>48</v>
      </c>
      <c r="E109">
        <v>54</v>
      </c>
      <c r="F109">
        <v>0</v>
      </c>
      <c r="G109">
        <v>541</v>
      </c>
      <c r="H109">
        <v>195</v>
      </c>
      <c r="I109">
        <v>24</v>
      </c>
      <c r="J109">
        <v>7</v>
      </c>
      <c r="K109">
        <v>3</v>
      </c>
      <c r="L109">
        <v>2</v>
      </c>
      <c r="M109">
        <v>42</v>
      </c>
      <c r="N109">
        <v>6</v>
      </c>
      <c r="O109">
        <v>3</v>
      </c>
      <c r="P109">
        <v>85</v>
      </c>
      <c r="Q109">
        <v>11</v>
      </c>
      <c r="R109">
        <v>51</v>
      </c>
      <c r="S109">
        <v>0</v>
      </c>
      <c r="T109">
        <v>141</v>
      </c>
      <c r="U109">
        <v>644</v>
      </c>
      <c r="V109">
        <v>669</v>
      </c>
      <c r="W109">
        <v>3</v>
      </c>
      <c r="X109">
        <v>1005</v>
      </c>
      <c r="Y109">
        <v>479</v>
      </c>
      <c r="Z109">
        <v>2</v>
      </c>
      <c r="AA109">
        <v>3</v>
      </c>
      <c r="AB109">
        <v>3</v>
      </c>
      <c r="AC109">
        <v>17669</v>
      </c>
      <c r="AD109">
        <v>64</v>
      </c>
      <c r="AE109">
        <v>2004</v>
      </c>
      <c r="AF109">
        <v>3004</v>
      </c>
      <c r="AG109">
        <v>649</v>
      </c>
      <c r="AH109">
        <v>187</v>
      </c>
      <c r="AI109">
        <v>24891</v>
      </c>
      <c r="AJ109">
        <v>38</v>
      </c>
      <c r="AK109">
        <v>4</v>
      </c>
      <c r="AL109">
        <v>469</v>
      </c>
      <c r="AM109">
        <v>0</v>
      </c>
      <c r="AN109">
        <v>69</v>
      </c>
      <c r="AO109">
        <v>26</v>
      </c>
      <c r="AP109" t="s">
        <v>45</v>
      </c>
    </row>
    <row r="110" spans="1:42" x14ac:dyDescent="0.3">
      <c r="A110" t="s">
        <v>2</v>
      </c>
      <c r="B110">
        <v>14</v>
      </c>
      <c r="C110">
        <v>14</v>
      </c>
      <c r="D110">
        <v>47</v>
      </c>
      <c r="E110">
        <v>53</v>
      </c>
      <c r="F110">
        <v>5</v>
      </c>
      <c r="G110">
        <v>667</v>
      </c>
      <c r="H110">
        <v>207</v>
      </c>
      <c r="I110">
        <v>33</v>
      </c>
      <c r="J110">
        <v>8</v>
      </c>
      <c r="K110">
        <v>1</v>
      </c>
      <c r="L110">
        <v>2</v>
      </c>
      <c r="M110">
        <v>40</v>
      </c>
      <c r="N110">
        <v>7</v>
      </c>
      <c r="O110">
        <v>3</v>
      </c>
      <c r="P110">
        <v>128</v>
      </c>
      <c r="Q110">
        <v>12</v>
      </c>
      <c r="R110">
        <v>40</v>
      </c>
      <c r="S110">
        <v>0</v>
      </c>
      <c r="T110">
        <v>108</v>
      </c>
      <c r="U110">
        <v>505</v>
      </c>
      <c r="V110">
        <v>728</v>
      </c>
      <c r="W110">
        <v>5</v>
      </c>
      <c r="X110">
        <v>720</v>
      </c>
      <c r="Y110">
        <v>365</v>
      </c>
      <c r="Z110">
        <v>3</v>
      </c>
      <c r="AA110">
        <v>5</v>
      </c>
      <c r="AB110">
        <v>4</v>
      </c>
      <c r="AC110">
        <v>18797</v>
      </c>
      <c r="AD110">
        <v>105</v>
      </c>
      <c r="AE110">
        <v>2260</v>
      </c>
      <c r="AF110">
        <v>2991</v>
      </c>
      <c r="AG110">
        <v>1103</v>
      </c>
      <c r="AH110">
        <v>309</v>
      </c>
      <c r="AI110">
        <v>26450</v>
      </c>
      <c r="AJ110">
        <v>66</v>
      </c>
      <c r="AK110">
        <v>2</v>
      </c>
      <c r="AL110">
        <v>440</v>
      </c>
      <c r="AM110">
        <v>1</v>
      </c>
      <c r="AN110">
        <v>22</v>
      </c>
      <c r="AO110">
        <v>19</v>
      </c>
      <c r="AP110" t="s">
        <v>45</v>
      </c>
    </row>
    <row r="111" spans="1:42" x14ac:dyDescent="0.3">
      <c r="A111" t="s">
        <v>35</v>
      </c>
      <c r="B111">
        <v>13</v>
      </c>
      <c r="C111">
        <v>17</v>
      </c>
      <c r="D111">
        <v>45</v>
      </c>
      <c r="E111">
        <v>48</v>
      </c>
      <c r="F111">
        <v>1</v>
      </c>
      <c r="G111">
        <v>544</v>
      </c>
      <c r="H111">
        <v>167</v>
      </c>
      <c r="I111">
        <v>13</v>
      </c>
      <c r="J111">
        <v>9</v>
      </c>
      <c r="K111">
        <v>1</v>
      </c>
      <c r="L111">
        <v>2</v>
      </c>
      <c r="M111">
        <v>35</v>
      </c>
      <c r="N111">
        <v>10</v>
      </c>
      <c r="O111">
        <v>3</v>
      </c>
      <c r="P111">
        <v>128</v>
      </c>
      <c r="Q111">
        <v>10</v>
      </c>
      <c r="R111">
        <v>52</v>
      </c>
      <c r="S111">
        <v>4</v>
      </c>
      <c r="T111">
        <v>167</v>
      </c>
      <c r="U111">
        <v>556</v>
      </c>
      <c r="V111">
        <v>683</v>
      </c>
      <c r="W111">
        <v>6</v>
      </c>
      <c r="X111">
        <v>960</v>
      </c>
      <c r="Y111">
        <v>521</v>
      </c>
      <c r="Z111">
        <v>2</v>
      </c>
      <c r="AA111">
        <v>9</v>
      </c>
      <c r="AB111">
        <v>7</v>
      </c>
      <c r="AC111">
        <v>14691</v>
      </c>
      <c r="AD111">
        <v>69</v>
      </c>
      <c r="AE111">
        <v>1776</v>
      </c>
      <c r="AF111">
        <v>2094</v>
      </c>
      <c r="AG111">
        <v>783</v>
      </c>
      <c r="AH111">
        <v>212</v>
      </c>
      <c r="AI111">
        <v>22205</v>
      </c>
      <c r="AJ111">
        <v>34</v>
      </c>
      <c r="AK111">
        <v>7</v>
      </c>
      <c r="AL111">
        <v>419</v>
      </c>
      <c r="AM111">
        <v>2</v>
      </c>
      <c r="AN111">
        <v>60</v>
      </c>
      <c r="AO111">
        <v>19</v>
      </c>
      <c r="AP111" t="s">
        <v>45</v>
      </c>
    </row>
    <row r="112" spans="1:42" x14ac:dyDescent="0.3">
      <c r="A112" t="s">
        <v>47</v>
      </c>
      <c r="B112">
        <v>12</v>
      </c>
      <c r="C112">
        <v>15</v>
      </c>
      <c r="D112">
        <v>52</v>
      </c>
      <c r="E112">
        <v>58</v>
      </c>
      <c r="F112">
        <v>3</v>
      </c>
      <c r="G112">
        <v>514</v>
      </c>
      <c r="H112">
        <v>164</v>
      </c>
      <c r="I112">
        <v>7</v>
      </c>
      <c r="J112">
        <v>15</v>
      </c>
      <c r="K112">
        <v>2</v>
      </c>
      <c r="L112">
        <v>1</v>
      </c>
      <c r="M112">
        <v>47</v>
      </c>
      <c r="N112">
        <v>5</v>
      </c>
      <c r="O112">
        <v>4</v>
      </c>
      <c r="P112">
        <v>74</v>
      </c>
      <c r="Q112">
        <v>3</v>
      </c>
      <c r="R112">
        <v>66</v>
      </c>
      <c r="S112">
        <v>0</v>
      </c>
      <c r="T112">
        <v>157</v>
      </c>
      <c r="U112">
        <v>468</v>
      </c>
      <c r="V112">
        <v>692</v>
      </c>
      <c r="W112">
        <v>6</v>
      </c>
      <c r="X112">
        <v>1451</v>
      </c>
      <c r="Y112">
        <v>767</v>
      </c>
      <c r="Z112">
        <v>1</v>
      </c>
      <c r="AA112">
        <v>7</v>
      </c>
      <c r="AB112">
        <v>5</v>
      </c>
      <c r="AC112">
        <v>15165</v>
      </c>
      <c r="AD112">
        <v>51</v>
      </c>
      <c r="AE112">
        <v>2430</v>
      </c>
      <c r="AF112">
        <v>2420</v>
      </c>
      <c r="AG112">
        <v>863</v>
      </c>
      <c r="AH112">
        <v>165</v>
      </c>
      <c r="AI112">
        <v>22830</v>
      </c>
      <c r="AJ112">
        <v>30</v>
      </c>
      <c r="AK112">
        <v>9</v>
      </c>
      <c r="AL112">
        <v>379</v>
      </c>
      <c r="AM112">
        <v>2</v>
      </c>
      <c r="AN112">
        <v>56</v>
      </c>
      <c r="AO112">
        <v>20</v>
      </c>
      <c r="AP112" t="s">
        <v>45</v>
      </c>
    </row>
    <row r="113" spans="1:42" x14ac:dyDescent="0.3">
      <c r="A113" t="s">
        <v>48</v>
      </c>
      <c r="B113">
        <v>12</v>
      </c>
      <c r="C113">
        <v>15</v>
      </c>
      <c r="D113">
        <v>44</v>
      </c>
      <c r="E113">
        <v>40</v>
      </c>
      <c r="F113">
        <v>2</v>
      </c>
      <c r="G113">
        <v>472</v>
      </c>
      <c r="H113">
        <v>145</v>
      </c>
      <c r="I113">
        <v>14</v>
      </c>
      <c r="J113">
        <v>7</v>
      </c>
      <c r="K113">
        <v>5</v>
      </c>
      <c r="L113">
        <v>1</v>
      </c>
      <c r="M113">
        <v>36</v>
      </c>
      <c r="N113">
        <v>8</v>
      </c>
      <c r="O113">
        <v>1</v>
      </c>
      <c r="P113">
        <v>67</v>
      </c>
      <c r="Q113">
        <v>14</v>
      </c>
      <c r="R113">
        <v>51</v>
      </c>
      <c r="S113">
        <v>0</v>
      </c>
      <c r="T113">
        <v>146</v>
      </c>
      <c r="U113">
        <v>579</v>
      </c>
      <c r="V113">
        <v>709</v>
      </c>
      <c r="W113">
        <v>3</v>
      </c>
      <c r="X113">
        <v>1048</v>
      </c>
      <c r="Y113">
        <v>439</v>
      </c>
      <c r="Z113">
        <v>2</v>
      </c>
      <c r="AA113">
        <v>3</v>
      </c>
      <c r="AB113">
        <v>1</v>
      </c>
      <c r="AC113">
        <v>20795</v>
      </c>
      <c r="AD113">
        <v>105</v>
      </c>
      <c r="AE113">
        <v>2121</v>
      </c>
      <c r="AF113">
        <v>3726</v>
      </c>
      <c r="AG113">
        <v>721</v>
      </c>
      <c r="AH113">
        <v>201</v>
      </c>
      <c r="AI113">
        <v>28300</v>
      </c>
      <c r="AJ113">
        <v>36</v>
      </c>
      <c r="AK113">
        <v>3</v>
      </c>
      <c r="AL113">
        <v>518</v>
      </c>
      <c r="AM113">
        <v>2</v>
      </c>
      <c r="AN113">
        <v>69</v>
      </c>
      <c r="AO113">
        <v>22</v>
      </c>
      <c r="AP113" t="s">
        <v>45</v>
      </c>
    </row>
    <row r="114" spans="1:42" x14ac:dyDescent="0.3">
      <c r="A114" t="s">
        <v>37</v>
      </c>
      <c r="B114">
        <v>11</v>
      </c>
      <c r="C114">
        <v>15</v>
      </c>
      <c r="D114">
        <v>36</v>
      </c>
      <c r="E114">
        <v>60</v>
      </c>
      <c r="F114">
        <v>2</v>
      </c>
      <c r="G114">
        <v>376</v>
      </c>
      <c r="H114">
        <v>94</v>
      </c>
      <c r="I114">
        <v>7</v>
      </c>
      <c r="J114">
        <v>14</v>
      </c>
      <c r="K114">
        <v>4</v>
      </c>
      <c r="L114">
        <v>0</v>
      </c>
      <c r="M114">
        <v>33</v>
      </c>
      <c r="N114">
        <v>3</v>
      </c>
      <c r="O114">
        <v>1</v>
      </c>
      <c r="P114">
        <v>62</v>
      </c>
      <c r="Q114">
        <v>9</v>
      </c>
      <c r="R114">
        <v>53</v>
      </c>
      <c r="S114">
        <v>11</v>
      </c>
      <c r="T114">
        <v>157</v>
      </c>
      <c r="U114">
        <v>461</v>
      </c>
      <c r="V114">
        <v>655</v>
      </c>
      <c r="W114">
        <v>4</v>
      </c>
      <c r="X114">
        <v>1910</v>
      </c>
      <c r="Y114">
        <v>959</v>
      </c>
      <c r="Z114">
        <v>3</v>
      </c>
      <c r="AA114">
        <v>7</v>
      </c>
      <c r="AB114">
        <v>7</v>
      </c>
      <c r="AC114">
        <v>10831</v>
      </c>
      <c r="AD114">
        <v>23</v>
      </c>
      <c r="AE114">
        <v>2194</v>
      </c>
      <c r="AF114">
        <v>1699</v>
      </c>
      <c r="AG114">
        <v>826</v>
      </c>
      <c r="AH114">
        <v>166</v>
      </c>
      <c r="AI114">
        <v>18936</v>
      </c>
      <c r="AJ114">
        <v>33</v>
      </c>
      <c r="AK114">
        <v>4</v>
      </c>
      <c r="AL114">
        <v>460</v>
      </c>
      <c r="AM114">
        <v>0</v>
      </c>
      <c r="AN114">
        <v>68</v>
      </c>
      <c r="AO114">
        <v>23</v>
      </c>
      <c r="AP114" t="s">
        <v>45</v>
      </c>
    </row>
    <row r="115" spans="1:42" x14ac:dyDescent="0.3">
      <c r="A115" t="s">
        <v>29</v>
      </c>
      <c r="B115">
        <v>11</v>
      </c>
      <c r="C115">
        <v>15</v>
      </c>
      <c r="D115">
        <v>45</v>
      </c>
      <c r="E115">
        <v>60</v>
      </c>
      <c r="F115">
        <v>4</v>
      </c>
      <c r="G115">
        <v>458</v>
      </c>
      <c r="H115">
        <v>141</v>
      </c>
      <c r="I115">
        <v>11</v>
      </c>
      <c r="J115">
        <v>8</v>
      </c>
      <c r="K115">
        <v>1</v>
      </c>
      <c r="L115">
        <v>5</v>
      </c>
      <c r="M115">
        <v>32</v>
      </c>
      <c r="N115">
        <v>13</v>
      </c>
      <c r="O115">
        <v>3</v>
      </c>
      <c r="P115">
        <v>76</v>
      </c>
      <c r="Q115">
        <v>12</v>
      </c>
      <c r="R115">
        <v>46</v>
      </c>
      <c r="S115">
        <v>0</v>
      </c>
      <c r="T115">
        <v>194</v>
      </c>
      <c r="U115">
        <v>652</v>
      </c>
      <c r="V115">
        <v>824</v>
      </c>
      <c r="W115">
        <v>7</v>
      </c>
      <c r="X115">
        <v>1158</v>
      </c>
      <c r="Y115">
        <v>600</v>
      </c>
      <c r="Z115">
        <v>2</v>
      </c>
      <c r="AA115">
        <v>5</v>
      </c>
      <c r="AB115">
        <v>3</v>
      </c>
      <c r="AC115">
        <v>13913</v>
      </c>
      <c r="AD115">
        <v>45</v>
      </c>
      <c r="AE115">
        <v>2135</v>
      </c>
      <c r="AF115">
        <v>2159</v>
      </c>
      <c r="AG115">
        <v>864</v>
      </c>
      <c r="AH115">
        <v>181</v>
      </c>
      <c r="AI115">
        <v>21770</v>
      </c>
      <c r="AJ115">
        <v>39</v>
      </c>
      <c r="AK115">
        <v>8</v>
      </c>
      <c r="AL115">
        <v>423</v>
      </c>
      <c r="AM115">
        <v>1</v>
      </c>
      <c r="AN115">
        <v>65</v>
      </c>
      <c r="AO115">
        <v>26</v>
      </c>
      <c r="AP115" t="s">
        <v>45</v>
      </c>
    </row>
    <row r="116" spans="1:42" x14ac:dyDescent="0.3">
      <c r="A116" t="s">
        <v>11</v>
      </c>
      <c r="B116">
        <v>11</v>
      </c>
      <c r="C116">
        <v>17</v>
      </c>
      <c r="D116">
        <v>42</v>
      </c>
      <c r="E116">
        <v>67</v>
      </c>
      <c r="F116">
        <v>3</v>
      </c>
      <c r="G116">
        <v>519</v>
      </c>
      <c r="H116">
        <v>162</v>
      </c>
      <c r="I116">
        <v>13</v>
      </c>
      <c r="J116">
        <v>6</v>
      </c>
      <c r="K116">
        <v>5</v>
      </c>
      <c r="L116">
        <v>1</v>
      </c>
      <c r="M116">
        <v>29</v>
      </c>
      <c r="N116">
        <v>13</v>
      </c>
      <c r="O116">
        <v>2</v>
      </c>
      <c r="P116">
        <v>71</v>
      </c>
      <c r="Q116">
        <v>8</v>
      </c>
      <c r="R116">
        <v>62</v>
      </c>
      <c r="S116">
        <v>0</v>
      </c>
      <c r="T116">
        <v>129</v>
      </c>
      <c r="U116">
        <v>578</v>
      </c>
      <c r="V116">
        <v>729</v>
      </c>
      <c r="W116">
        <v>7</v>
      </c>
      <c r="X116">
        <v>925</v>
      </c>
      <c r="Y116">
        <v>413</v>
      </c>
      <c r="Z116">
        <v>1</v>
      </c>
      <c r="AA116">
        <v>8</v>
      </c>
      <c r="AB116">
        <v>4</v>
      </c>
      <c r="AC116">
        <v>15715</v>
      </c>
      <c r="AD116">
        <v>55</v>
      </c>
      <c r="AE116">
        <v>2154</v>
      </c>
      <c r="AF116">
        <v>2322</v>
      </c>
      <c r="AG116">
        <v>744</v>
      </c>
      <c r="AH116">
        <v>212</v>
      </c>
      <c r="AI116">
        <v>22943</v>
      </c>
      <c r="AJ116">
        <v>41</v>
      </c>
      <c r="AK116">
        <v>3</v>
      </c>
      <c r="AL116">
        <v>414</v>
      </c>
      <c r="AM116">
        <v>4</v>
      </c>
      <c r="AN116">
        <v>42</v>
      </c>
      <c r="AO116">
        <v>23</v>
      </c>
      <c r="AP116" t="s">
        <v>45</v>
      </c>
    </row>
    <row r="117" spans="1:42" x14ac:dyDescent="0.3">
      <c r="A117" t="s">
        <v>20</v>
      </c>
      <c r="B117">
        <v>10</v>
      </c>
      <c r="C117">
        <v>22</v>
      </c>
      <c r="D117">
        <v>46</v>
      </c>
      <c r="E117">
        <v>50</v>
      </c>
      <c r="F117">
        <v>5</v>
      </c>
      <c r="G117">
        <v>495</v>
      </c>
      <c r="H117">
        <v>163</v>
      </c>
      <c r="I117">
        <v>8</v>
      </c>
      <c r="J117">
        <v>7</v>
      </c>
      <c r="K117">
        <v>5</v>
      </c>
      <c r="L117">
        <v>0</v>
      </c>
      <c r="M117">
        <v>40</v>
      </c>
      <c r="N117">
        <v>6</v>
      </c>
      <c r="O117">
        <v>0</v>
      </c>
      <c r="P117">
        <v>55</v>
      </c>
      <c r="Q117">
        <v>3</v>
      </c>
      <c r="R117">
        <v>77</v>
      </c>
      <c r="S117">
        <v>0</v>
      </c>
      <c r="T117">
        <v>169</v>
      </c>
      <c r="U117">
        <v>694</v>
      </c>
      <c r="V117">
        <v>732</v>
      </c>
      <c r="W117">
        <v>9</v>
      </c>
      <c r="X117">
        <v>1255</v>
      </c>
      <c r="Y117">
        <v>648</v>
      </c>
      <c r="Z117">
        <v>1</v>
      </c>
      <c r="AA117">
        <v>3</v>
      </c>
      <c r="AB117">
        <v>2</v>
      </c>
      <c r="AC117">
        <v>13580</v>
      </c>
      <c r="AD117">
        <v>101</v>
      </c>
      <c r="AE117">
        <v>2123</v>
      </c>
      <c r="AF117">
        <v>1955</v>
      </c>
      <c r="AG117">
        <v>769</v>
      </c>
      <c r="AH117">
        <v>210</v>
      </c>
      <c r="AI117">
        <v>21694</v>
      </c>
      <c r="AJ117">
        <v>25</v>
      </c>
      <c r="AK117">
        <v>8</v>
      </c>
      <c r="AL117">
        <v>442</v>
      </c>
      <c r="AM117">
        <v>1</v>
      </c>
      <c r="AN117">
        <v>58</v>
      </c>
      <c r="AO117">
        <v>16</v>
      </c>
      <c r="AP117" t="s">
        <v>45</v>
      </c>
    </row>
    <row r="118" spans="1:42" x14ac:dyDescent="0.3">
      <c r="A118" t="s">
        <v>46</v>
      </c>
      <c r="B118">
        <v>10</v>
      </c>
      <c r="C118">
        <v>21</v>
      </c>
      <c r="D118">
        <v>43</v>
      </c>
      <c r="E118">
        <v>54</v>
      </c>
      <c r="F118">
        <v>9</v>
      </c>
      <c r="G118">
        <v>539</v>
      </c>
      <c r="H118">
        <v>150</v>
      </c>
      <c r="I118">
        <v>15</v>
      </c>
      <c r="J118">
        <v>10</v>
      </c>
      <c r="K118">
        <v>2</v>
      </c>
      <c r="L118">
        <v>3</v>
      </c>
      <c r="M118">
        <v>36</v>
      </c>
      <c r="N118">
        <v>7</v>
      </c>
      <c r="O118">
        <v>0</v>
      </c>
      <c r="P118">
        <v>83</v>
      </c>
      <c r="Q118">
        <v>7</v>
      </c>
      <c r="R118">
        <v>66</v>
      </c>
      <c r="S118">
        <v>0</v>
      </c>
      <c r="T118">
        <v>187</v>
      </c>
      <c r="U118">
        <v>547</v>
      </c>
      <c r="V118">
        <v>764</v>
      </c>
      <c r="W118">
        <v>1</v>
      </c>
      <c r="X118">
        <v>1412</v>
      </c>
      <c r="Y118">
        <v>800</v>
      </c>
      <c r="Z118">
        <v>2</v>
      </c>
      <c r="AA118">
        <v>3</v>
      </c>
      <c r="AB118">
        <v>3</v>
      </c>
      <c r="AC118">
        <v>13383</v>
      </c>
      <c r="AD118">
        <v>42</v>
      </c>
      <c r="AE118">
        <v>2149</v>
      </c>
      <c r="AF118">
        <v>2005</v>
      </c>
      <c r="AG118">
        <v>796</v>
      </c>
      <c r="AH118">
        <v>195</v>
      </c>
      <c r="AI118">
        <v>21309</v>
      </c>
      <c r="AJ118">
        <v>23</v>
      </c>
      <c r="AK118">
        <v>8</v>
      </c>
      <c r="AL118">
        <v>429</v>
      </c>
      <c r="AM118">
        <v>0</v>
      </c>
      <c r="AN118">
        <v>26</v>
      </c>
      <c r="AO118">
        <v>22</v>
      </c>
      <c r="AP118" t="s">
        <v>45</v>
      </c>
    </row>
    <row r="119" spans="1:42" x14ac:dyDescent="0.3">
      <c r="A119" t="s">
        <v>13</v>
      </c>
      <c r="B119">
        <v>8</v>
      </c>
      <c r="C119">
        <v>23</v>
      </c>
      <c r="D119">
        <v>48</v>
      </c>
      <c r="E119">
        <v>66</v>
      </c>
      <c r="F119">
        <v>5</v>
      </c>
      <c r="G119">
        <v>453</v>
      </c>
      <c r="H119">
        <v>143</v>
      </c>
      <c r="I119">
        <v>10</v>
      </c>
      <c r="J119">
        <v>13</v>
      </c>
      <c r="K119">
        <v>4</v>
      </c>
      <c r="L119">
        <v>2</v>
      </c>
      <c r="M119">
        <v>41</v>
      </c>
      <c r="N119">
        <v>7</v>
      </c>
      <c r="O119">
        <v>2</v>
      </c>
      <c r="P119">
        <v>58</v>
      </c>
      <c r="Q119">
        <v>3</v>
      </c>
      <c r="R119">
        <v>78</v>
      </c>
      <c r="S119">
        <v>0</v>
      </c>
      <c r="T119">
        <v>149</v>
      </c>
      <c r="U119">
        <v>716</v>
      </c>
      <c r="V119">
        <v>690</v>
      </c>
      <c r="W119">
        <v>6</v>
      </c>
      <c r="X119">
        <v>1328</v>
      </c>
      <c r="Y119">
        <v>575</v>
      </c>
      <c r="Z119">
        <v>4</v>
      </c>
      <c r="AA119">
        <v>3</v>
      </c>
      <c r="AB119">
        <v>2</v>
      </c>
      <c r="AC119">
        <v>12424</v>
      </c>
      <c r="AD119">
        <v>59</v>
      </c>
      <c r="AE119">
        <v>2067</v>
      </c>
      <c r="AF119">
        <v>1934</v>
      </c>
      <c r="AG119">
        <v>610</v>
      </c>
      <c r="AH119">
        <v>166</v>
      </c>
      <c r="AI119">
        <v>20036</v>
      </c>
      <c r="AJ119">
        <v>37</v>
      </c>
      <c r="AK119">
        <v>6</v>
      </c>
      <c r="AL119">
        <v>370</v>
      </c>
      <c r="AM119">
        <v>1</v>
      </c>
      <c r="AN119">
        <v>53</v>
      </c>
      <c r="AO119">
        <v>10</v>
      </c>
      <c r="AP119" t="s">
        <v>45</v>
      </c>
    </row>
    <row r="120" spans="1:42" x14ac:dyDescent="0.3">
      <c r="A120" t="s">
        <v>6</v>
      </c>
      <c r="B120">
        <v>7</v>
      </c>
      <c r="C120">
        <v>14</v>
      </c>
      <c r="D120">
        <v>37</v>
      </c>
      <c r="E120">
        <v>70</v>
      </c>
      <c r="F120">
        <v>2</v>
      </c>
      <c r="G120">
        <v>438</v>
      </c>
      <c r="H120">
        <v>138</v>
      </c>
      <c r="I120">
        <v>9</v>
      </c>
      <c r="J120">
        <v>3</v>
      </c>
      <c r="K120">
        <v>3</v>
      </c>
      <c r="L120">
        <v>0</v>
      </c>
      <c r="M120">
        <v>29</v>
      </c>
      <c r="N120">
        <v>8</v>
      </c>
      <c r="O120">
        <v>1</v>
      </c>
      <c r="P120">
        <v>85</v>
      </c>
      <c r="Q120">
        <v>9</v>
      </c>
      <c r="R120">
        <v>53</v>
      </c>
      <c r="S120">
        <v>0</v>
      </c>
      <c r="T120">
        <v>176</v>
      </c>
      <c r="U120">
        <v>740</v>
      </c>
      <c r="V120">
        <v>774</v>
      </c>
      <c r="W120">
        <v>4</v>
      </c>
      <c r="X120">
        <v>1301</v>
      </c>
      <c r="Y120">
        <v>682</v>
      </c>
      <c r="Z120">
        <v>2</v>
      </c>
      <c r="AA120">
        <v>7</v>
      </c>
      <c r="AB120">
        <v>6</v>
      </c>
      <c r="AC120">
        <v>13158</v>
      </c>
      <c r="AD120">
        <v>62</v>
      </c>
      <c r="AE120">
        <v>1980</v>
      </c>
      <c r="AF120">
        <v>2013</v>
      </c>
      <c r="AG120">
        <v>834</v>
      </c>
      <c r="AH120">
        <v>218</v>
      </c>
      <c r="AI120">
        <v>21017</v>
      </c>
      <c r="AJ120">
        <v>39</v>
      </c>
      <c r="AK120">
        <v>8</v>
      </c>
      <c r="AL120">
        <v>300</v>
      </c>
      <c r="AM120">
        <v>0</v>
      </c>
      <c r="AN120">
        <v>41</v>
      </c>
      <c r="AO120">
        <v>15</v>
      </c>
      <c r="AP120" t="s">
        <v>45</v>
      </c>
    </row>
    <row r="121" spans="1:42" x14ac:dyDescent="0.3">
      <c r="A121" t="s">
        <v>41</v>
      </c>
      <c r="B121">
        <v>5</v>
      </c>
      <c r="C121">
        <v>23</v>
      </c>
      <c r="D121">
        <v>40</v>
      </c>
      <c r="E121">
        <v>64</v>
      </c>
      <c r="F121">
        <v>4</v>
      </c>
      <c r="G121">
        <v>473</v>
      </c>
      <c r="H121">
        <v>152</v>
      </c>
      <c r="I121">
        <v>10</v>
      </c>
      <c r="J121">
        <v>9</v>
      </c>
      <c r="K121">
        <v>3</v>
      </c>
      <c r="L121">
        <v>0</v>
      </c>
      <c r="M121">
        <v>37</v>
      </c>
      <c r="N121">
        <v>3</v>
      </c>
      <c r="O121">
        <v>1</v>
      </c>
      <c r="P121">
        <v>82</v>
      </c>
      <c r="Q121">
        <v>4</v>
      </c>
      <c r="R121">
        <v>82</v>
      </c>
      <c r="S121">
        <v>9</v>
      </c>
      <c r="T121">
        <v>159</v>
      </c>
      <c r="U121">
        <v>598</v>
      </c>
      <c r="V121">
        <v>619</v>
      </c>
      <c r="W121">
        <v>4</v>
      </c>
      <c r="X121">
        <v>1178</v>
      </c>
      <c r="Y121">
        <v>495</v>
      </c>
      <c r="Z121">
        <v>2</v>
      </c>
      <c r="AA121">
        <v>7</v>
      </c>
      <c r="AB121">
        <v>5</v>
      </c>
      <c r="AC121">
        <v>14860</v>
      </c>
      <c r="AD121">
        <v>30</v>
      </c>
      <c r="AE121">
        <v>2249</v>
      </c>
      <c r="AF121">
        <v>2538</v>
      </c>
      <c r="AG121">
        <v>999</v>
      </c>
      <c r="AH121">
        <v>205</v>
      </c>
      <c r="AI121">
        <v>22585</v>
      </c>
      <c r="AJ121">
        <v>29</v>
      </c>
      <c r="AK121">
        <v>6</v>
      </c>
      <c r="AL121">
        <v>425</v>
      </c>
      <c r="AM121">
        <v>2</v>
      </c>
      <c r="AN121">
        <v>81</v>
      </c>
      <c r="AO121">
        <v>22</v>
      </c>
      <c r="AP121" t="s">
        <v>45</v>
      </c>
    </row>
    <row r="122" spans="1:42" x14ac:dyDescent="0.3">
      <c r="A122" t="s">
        <v>22</v>
      </c>
      <c r="B122">
        <v>28</v>
      </c>
      <c r="C122">
        <v>5</v>
      </c>
      <c r="D122">
        <v>86</v>
      </c>
      <c r="E122">
        <v>57</v>
      </c>
      <c r="F122">
        <v>1</v>
      </c>
      <c r="G122">
        <v>561</v>
      </c>
      <c r="H122">
        <v>213</v>
      </c>
      <c r="I122">
        <v>24</v>
      </c>
      <c r="J122">
        <v>14</v>
      </c>
      <c r="K122">
        <v>4</v>
      </c>
      <c r="L122">
        <v>1</v>
      </c>
      <c r="M122">
        <v>77</v>
      </c>
      <c r="N122">
        <v>9</v>
      </c>
      <c r="O122">
        <v>2</v>
      </c>
      <c r="P122">
        <v>96</v>
      </c>
      <c r="Q122">
        <v>13</v>
      </c>
      <c r="R122">
        <v>43</v>
      </c>
      <c r="S122">
        <v>1</v>
      </c>
      <c r="T122">
        <v>143</v>
      </c>
      <c r="U122">
        <v>514</v>
      </c>
      <c r="V122">
        <v>731</v>
      </c>
      <c r="W122">
        <v>4</v>
      </c>
      <c r="X122">
        <v>1319</v>
      </c>
      <c r="Y122">
        <v>848</v>
      </c>
      <c r="Z122">
        <v>4</v>
      </c>
      <c r="AA122">
        <v>0</v>
      </c>
      <c r="AB122">
        <v>0</v>
      </c>
      <c r="AC122">
        <v>19696</v>
      </c>
      <c r="AD122">
        <v>103</v>
      </c>
      <c r="AE122">
        <v>1973</v>
      </c>
      <c r="AF122">
        <v>2727</v>
      </c>
      <c r="AG122">
        <v>962</v>
      </c>
      <c r="AH122">
        <v>218</v>
      </c>
      <c r="AI122">
        <v>27264</v>
      </c>
      <c r="AJ122">
        <v>65</v>
      </c>
      <c r="AK122">
        <v>5</v>
      </c>
      <c r="AL122">
        <v>506</v>
      </c>
      <c r="AM122">
        <v>0</v>
      </c>
      <c r="AN122">
        <v>38</v>
      </c>
      <c r="AO122">
        <v>28</v>
      </c>
      <c r="AP122" t="s">
        <v>49</v>
      </c>
    </row>
    <row r="123" spans="1:42" x14ac:dyDescent="0.3">
      <c r="A123" t="s">
        <v>26</v>
      </c>
      <c r="B123">
        <v>23</v>
      </c>
      <c r="C123">
        <v>6</v>
      </c>
      <c r="D123">
        <v>66</v>
      </c>
      <c r="E123">
        <v>62</v>
      </c>
      <c r="F123">
        <v>3</v>
      </c>
      <c r="G123">
        <v>660</v>
      </c>
      <c r="H123">
        <v>231</v>
      </c>
      <c r="I123">
        <v>16</v>
      </c>
      <c r="J123">
        <v>6</v>
      </c>
      <c r="K123">
        <v>4</v>
      </c>
      <c r="L123">
        <v>2</v>
      </c>
      <c r="M123">
        <v>57</v>
      </c>
      <c r="N123">
        <v>9</v>
      </c>
      <c r="O123">
        <v>6</v>
      </c>
      <c r="P123">
        <v>75</v>
      </c>
      <c r="Q123">
        <v>18</v>
      </c>
      <c r="R123">
        <v>34</v>
      </c>
      <c r="S123">
        <v>1</v>
      </c>
      <c r="T123">
        <v>111</v>
      </c>
      <c r="U123">
        <v>492</v>
      </c>
      <c r="V123">
        <v>683</v>
      </c>
      <c r="W123">
        <v>3</v>
      </c>
      <c r="X123">
        <v>1068</v>
      </c>
      <c r="Y123">
        <v>551</v>
      </c>
      <c r="Z123">
        <v>2</v>
      </c>
      <c r="AA123">
        <v>2</v>
      </c>
      <c r="AB123">
        <v>1</v>
      </c>
      <c r="AC123">
        <v>20061</v>
      </c>
      <c r="AD123">
        <v>161</v>
      </c>
      <c r="AE123">
        <v>1613</v>
      </c>
      <c r="AF123">
        <v>2720</v>
      </c>
      <c r="AG123">
        <v>860</v>
      </c>
      <c r="AH123">
        <v>269</v>
      </c>
      <c r="AI123">
        <v>27525</v>
      </c>
      <c r="AJ123">
        <v>86</v>
      </c>
      <c r="AK123">
        <v>6</v>
      </c>
      <c r="AL123">
        <v>515</v>
      </c>
      <c r="AM123">
        <v>1</v>
      </c>
      <c r="AN123">
        <v>28</v>
      </c>
      <c r="AO123">
        <v>23</v>
      </c>
      <c r="AP123" t="s">
        <v>49</v>
      </c>
    </row>
    <row r="124" spans="1:42" x14ac:dyDescent="0.3">
      <c r="A124" t="s">
        <v>25</v>
      </c>
      <c r="B124">
        <v>22</v>
      </c>
      <c r="C124">
        <v>7</v>
      </c>
      <c r="D124">
        <v>75</v>
      </c>
      <c r="E124">
        <v>51</v>
      </c>
      <c r="F124">
        <v>3</v>
      </c>
      <c r="G124">
        <v>626</v>
      </c>
      <c r="H124">
        <v>212</v>
      </c>
      <c r="I124">
        <v>7</v>
      </c>
      <c r="J124">
        <v>16</v>
      </c>
      <c r="K124">
        <v>9</v>
      </c>
      <c r="L124">
        <v>3</v>
      </c>
      <c r="M124">
        <v>64</v>
      </c>
      <c r="N124">
        <v>11</v>
      </c>
      <c r="O124">
        <v>3</v>
      </c>
      <c r="P124">
        <v>80</v>
      </c>
      <c r="Q124">
        <v>14</v>
      </c>
      <c r="R124">
        <v>39</v>
      </c>
      <c r="S124">
        <v>6</v>
      </c>
      <c r="T124">
        <v>104</v>
      </c>
      <c r="U124">
        <v>504</v>
      </c>
      <c r="V124">
        <v>710</v>
      </c>
      <c r="W124">
        <v>4</v>
      </c>
      <c r="X124">
        <v>981</v>
      </c>
      <c r="Y124">
        <v>603</v>
      </c>
      <c r="Z124">
        <v>2</v>
      </c>
      <c r="AA124">
        <v>1</v>
      </c>
      <c r="AB124">
        <v>0</v>
      </c>
      <c r="AC124">
        <v>18425</v>
      </c>
      <c r="AD124">
        <v>52</v>
      </c>
      <c r="AE124">
        <v>2008</v>
      </c>
      <c r="AF124">
        <v>2790</v>
      </c>
      <c r="AG124">
        <v>863</v>
      </c>
      <c r="AH124">
        <v>240</v>
      </c>
      <c r="AI124">
        <v>25959</v>
      </c>
      <c r="AJ124">
        <v>45</v>
      </c>
      <c r="AK124">
        <v>1</v>
      </c>
      <c r="AL124">
        <v>434</v>
      </c>
      <c r="AM124">
        <v>0</v>
      </c>
      <c r="AN124">
        <v>53</v>
      </c>
      <c r="AO124">
        <v>29</v>
      </c>
      <c r="AP124" t="s">
        <v>49</v>
      </c>
    </row>
    <row r="125" spans="1:42" x14ac:dyDescent="0.3">
      <c r="A125" t="s">
        <v>5</v>
      </c>
      <c r="B125">
        <v>21</v>
      </c>
      <c r="C125">
        <v>7</v>
      </c>
      <c r="D125">
        <v>72</v>
      </c>
      <c r="E125">
        <v>42</v>
      </c>
      <c r="F125">
        <v>5</v>
      </c>
      <c r="G125">
        <v>597</v>
      </c>
      <c r="H125">
        <v>205</v>
      </c>
      <c r="I125">
        <v>16</v>
      </c>
      <c r="J125">
        <v>11</v>
      </c>
      <c r="K125">
        <v>5</v>
      </c>
      <c r="L125">
        <v>2</v>
      </c>
      <c r="M125">
        <v>65</v>
      </c>
      <c r="N125">
        <v>7</v>
      </c>
      <c r="O125">
        <v>7</v>
      </c>
      <c r="P125">
        <v>80</v>
      </c>
      <c r="Q125">
        <v>14</v>
      </c>
      <c r="R125">
        <v>37</v>
      </c>
      <c r="S125">
        <v>0</v>
      </c>
      <c r="T125">
        <v>94</v>
      </c>
      <c r="U125">
        <v>636</v>
      </c>
      <c r="V125">
        <v>748</v>
      </c>
      <c r="W125">
        <v>19</v>
      </c>
      <c r="X125">
        <v>873</v>
      </c>
      <c r="Y125">
        <v>492</v>
      </c>
      <c r="Z125">
        <v>0</v>
      </c>
      <c r="AA125">
        <v>6</v>
      </c>
      <c r="AB125">
        <v>4</v>
      </c>
      <c r="AC125">
        <v>21110</v>
      </c>
      <c r="AD125">
        <v>226</v>
      </c>
      <c r="AE125">
        <v>1755</v>
      </c>
      <c r="AF125">
        <v>3079</v>
      </c>
      <c r="AG125">
        <v>951</v>
      </c>
      <c r="AH125">
        <v>260</v>
      </c>
      <c r="AI125">
        <v>28862</v>
      </c>
      <c r="AJ125">
        <v>50</v>
      </c>
      <c r="AK125">
        <v>5</v>
      </c>
      <c r="AL125">
        <v>411</v>
      </c>
      <c r="AM125">
        <v>1</v>
      </c>
      <c r="AN125">
        <v>31</v>
      </c>
      <c r="AO125">
        <v>20</v>
      </c>
      <c r="AP125" t="s">
        <v>49</v>
      </c>
    </row>
    <row r="126" spans="1:42" x14ac:dyDescent="0.3">
      <c r="A126" t="s">
        <v>21</v>
      </c>
      <c r="B126">
        <v>21</v>
      </c>
      <c r="C126">
        <v>8</v>
      </c>
      <c r="D126">
        <v>66</v>
      </c>
      <c r="E126">
        <v>55</v>
      </c>
      <c r="F126">
        <v>2</v>
      </c>
      <c r="G126">
        <v>681</v>
      </c>
      <c r="H126">
        <v>241</v>
      </c>
      <c r="I126">
        <v>17</v>
      </c>
      <c r="J126">
        <v>6</v>
      </c>
      <c r="K126">
        <v>0</v>
      </c>
      <c r="L126">
        <v>2</v>
      </c>
      <c r="M126">
        <v>50</v>
      </c>
      <c r="N126">
        <v>16</v>
      </c>
      <c r="O126">
        <v>6</v>
      </c>
      <c r="P126">
        <v>77</v>
      </c>
      <c r="Q126">
        <v>9</v>
      </c>
      <c r="R126">
        <v>46</v>
      </c>
      <c r="S126">
        <v>0</v>
      </c>
      <c r="T126">
        <v>90</v>
      </c>
      <c r="U126">
        <v>721</v>
      </c>
      <c r="V126">
        <v>745</v>
      </c>
      <c r="W126">
        <v>8</v>
      </c>
      <c r="X126">
        <v>1595</v>
      </c>
      <c r="Y126">
        <v>870</v>
      </c>
      <c r="Z126">
        <v>1</v>
      </c>
      <c r="AA126">
        <v>3</v>
      </c>
      <c r="AB126">
        <v>3</v>
      </c>
      <c r="AC126">
        <v>16647</v>
      </c>
      <c r="AD126">
        <v>101</v>
      </c>
      <c r="AE126">
        <v>2028</v>
      </c>
      <c r="AF126">
        <v>2542</v>
      </c>
      <c r="AG126">
        <v>884</v>
      </c>
      <c r="AH126">
        <v>262</v>
      </c>
      <c r="AI126">
        <v>25155</v>
      </c>
      <c r="AJ126">
        <v>41</v>
      </c>
      <c r="AK126">
        <v>6</v>
      </c>
      <c r="AL126">
        <v>466</v>
      </c>
      <c r="AM126">
        <v>0</v>
      </c>
      <c r="AN126">
        <v>44</v>
      </c>
      <c r="AO126">
        <v>30</v>
      </c>
      <c r="AP126" t="s">
        <v>49</v>
      </c>
    </row>
    <row r="127" spans="1:42" x14ac:dyDescent="0.3">
      <c r="A127" t="s">
        <v>7</v>
      </c>
      <c r="B127">
        <v>16</v>
      </c>
      <c r="C127">
        <v>7</v>
      </c>
      <c r="D127">
        <v>55</v>
      </c>
      <c r="E127">
        <v>59</v>
      </c>
      <c r="F127">
        <v>3</v>
      </c>
      <c r="G127">
        <v>633</v>
      </c>
      <c r="H127">
        <v>207</v>
      </c>
      <c r="I127">
        <v>21</v>
      </c>
      <c r="J127">
        <v>13</v>
      </c>
      <c r="K127">
        <v>2</v>
      </c>
      <c r="L127">
        <v>1</v>
      </c>
      <c r="M127">
        <v>44</v>
      </c>
      <c r="N127">
        <v>11</v>
      </c>
      <c r="O127">
        <v>4</v>
      </c>
      <c r="P127">
        <v>100</v>
      </c>
      <c r="Q127">
        <v>11</v>
      </c>
      <c r="R127">
        <v>40</v>
      </c>
      <c r="S127">
        <v>4</v>
      </c>
      <c r="T127">
        <v>126</v>
      </c>
      <c r="U127">
        <v>592</v>
      </c>
      <c r="V127">
        <v>720</v>
      </c>
      <c r="W127">
        <v>7</v>
      </c>
      <c r="X127">
        <v>1172</v>
      </c>
      <c r="Y127">
        <v>677</v>
      </c>
      <c r="Z127">
        <v>2</v>
      </c>
      <c r="AA127">
        <v>2</v>
      </c>
      <c r="AB127">
        <v>2</v>
      </c>
      <c r="AC127">
        <v>15829</v>
      </c>
      <c r="AD127">
        <v>54</v>
      </c>
      <c r="AE127">
        <v>2055</v>
      </c>
      <c r="AF127">
        <v>2271</v>
      </c>
      <c r="AG127">
        <v>989</v>
      </c>
      <c r="AH127">
        <v>257</v>
      </c>
      <c r="AI127">
        <v>23854</v>
      </c>
      <c r="AJ127">
        <v>67</v>
      </c>
      <c r="AK127">
        <v>8</v>
      </c>
      <c r="AL127">
        <v>449</v>
      </c>
      <c r="AM127">
        <v>0</v>
      </c>
      <c r="AN127">
        <v>61</v>
      </c>
      <c r="AO127">
        <v>28</v>
      </c>
      <c r="AP127" t="s">
        <v>49</v>
      </c>
    </row>
    <row r="128" spans="1:42" x14ac:dyDescent="0.3">
      <c r="A128" t="s">
        <v>2</v>
      </c>
      <c r="B128">
        <v>16</v>
      </c>
      <c r="C128">
        <v>9</v>
      </c>
      <c r="D128">
        <v>71</v>
      </c>
      <c r="E128">
        <v>54</v>
      </c>
      <c r="F128">
        <v>2</v>
      </c>
      <c r="G128">
        <v>739</v>
      </c>
      <c r="H128">
        <v>232</v>
      </c>
      <c r="I128">
        <v>19</v>
      </c>
      <c r="J128">
        <v>9</v>
      </c>
      <c r="K128">
        <v>5</v>
      </c>
      <c r="L128">
        <v>3</v>
      </c>
      <c r="M128">
        <v>59</v>
      </c>
      <c r="N128">
        <v>12</v>
      </c>
      <c r="O128">
        <v>1</v>
      </c>
      <c r="P128">
        <v>110</v>
      </c>
      <c r="Q128">
        <v>16</v>
      </c>
      <c r="R128">
        <v>43</v>
      </c>
      <c r="S128">
        <v>0</v>
      </c>
      <c r="T128">
        <v>107</v>
      </c>
      <c r="U128">
        <v>526</v>
      </c>
      <c r="V128">
        <v>795</v>
      </c>
      <c r="W128">
        <v>2</v>
      </c>
      <c r="X128">
        <v>914</v>
      </c>
      <c r="Y128">
        <v>448</v>
      </c>
      <c r="Z128">
        <v>1</v>
      </c>
      <c r="AA128">
        <v>5</v>
      </c>
      <c r="AB128">
        <v>4</v>
      </c>
      <c r="AC128">
        <v>19802</v>
      </c>
      <c r="AD128">
        <v>101</v>
      </c>
      <c r="AE128">
        <v>2040</v>
      </c>
      <c r="AF128">
        <v>3004</v>
      </c>
      <c r="AG128">
        <v>794</v>
      </c>
      <c r="AH128">
        <v>284</v>
      </c>
      <c r="AI128">
        <v>27722</v>
      </c>
      <c r="AJ128">
        <v>61</v>
      </c>
      <c r="AK128">
        <v>3</v>
      </c>
      <c r="AL128">
        <v>529</v>
      </c>
      <c r="AM128">
        <v>1</v>
      </c>
      <c r="AN128">
        <v>38</v>
      </c>
      <c r="AO128">
        <v>23</v>
      </c>
      <c r="AP128" t="s">
        <v>49</v>
      </c>
    </row>
    <row r="129" spans="1:42" x14ac:dyDescent="0.3">
      <c r="A129" t="s">
        <v>35</v>
      </c>
      <c r="B129">
        <v>14</v>
      </c>
      <c r="C129">
        <v>17</v>
      </c>
      <c r="D129">
        <v>53</v>
      </c>
      <c r="E129">
        <v>63</v>
      </c>
      <c r="F129">
        <v>4</v>
      </c>
      <c r="G129">
        <v>506</v>
      </c>
      <c r="H129">
        <v>170</v>
      </c>
      <c r="I129">
        <v>15</v>
      </c>
      <c r="J129">
        <v>13</v>
      </c>
      <c r="K129">
        <v>5</v>
      </c>
      <c r="L129">
        <v>0</v>
      </c>
      <c r="M129">
        <v>46</v>
      </c>
      <c r="N129">
        <v>7</v>
      </c>
      <c r="O129">
        <v>5</v>
      </c>
      <c r="P129">
        <v>100</v>
      </c>
      <c r="Q129">
        <v>8</v>
      </c>
      <c r="R129">
        <v>57</v>
      </c>
      <c r="S129">
        <v>2</v>
      </c>
      <c r="T129">
        <v>158</v>
      </c>
      <c r="U129">
        <v>377</v>
      </c>
      <c r="V129">
        <v>698</v>
      </c>
      <c r="W129">
        <v>1</v>
      </c>
      <c r="X129">
        <v>1079</v>
      </c>
      <c r="Y129">
        <v>670</v>
      </c>
      <c r="Z129">
        <v>3</v>
      </c>
      <c r="AA129">
        <v>6</v>
      </c>
      <c r="AB129">
        <v>5</v>
      </c>
      <c r="AC129">
        <v>14367</v>
      </c>
      <c r="AD129">
        <v>30</v>
      </c>
      <c r="AE129">
        <v>1896</v>
      </c>
      <c r="AF129">
        <v>2123</v>
      </c>
      <c r="AG129">
        <v>778</v>
      </c>
      <c r="AH129">
        <v>202</v>
      </c>
      <c r="AI129">
        <v>21491</v>
      </c>
      <c r="AJ129">
        <v>39</v>
      </c>
      <c r="AK129">
        <v>3</v>
      </c>
      <c r="AL129">
        <v>455</v>
      </c>
      <c r="AM129">
        <v>1</v>
      </c>
      <c r="AN129">
        <v>77</v>
      </c>
      <c r="AO129">
        <v>15</v>
      </c>
      <c r="AP129" t="s">
        <v>49</v>
      </c>
    </row>
    <row r="130" spans="1:42" x14ac:dyDescent="0.3">
      <c r="A130" t="s">
        <v>18</v>
      </c>
      <c r="B130">
        <v>12</v>
      </c>
      <c r="C130">
        <v>16</v>
      </c>
      <c r="D130">
        <v>45</v>
      </c>
      <c r="E130">
        <v>74</v>
      </c>
      <c r="F130">
        <v>1</v>
      </c>
      <c r="G130">
        <v>492</v>
      </c>
      <c r="H130">
        <v>158</v>
      </c>
      <c r="I130">
        <v>9</v>
      </c>
      <c r="J130">
        <v>9</v>
      </c>
      <c r="K130">
        <v>4</v>
      </c>
      <c r="L130">
        <v>2</v>
      </c>
      <c r="M130">
        <v>38</v>
      </c>
      <c r="N130">
        <v>7</v>
      </c>
      <c r="O130">
        <v>2</v>
      </c>
      <c r="P130">
        <v>82</v>
      </c>
      <c r="Q130">
        <v>11</v>
      </c>
      <c r="R130">
        <v>53</v>
      </c>
      <c r="S130">
        <v>2</v>
      </c>
      <c r="T130">
        <v>166</v>
      </c>
      <c r="U130">
        <v>459</v>
      </c>
      <c r="V130">
        <v>728</v>
      </c>
      <c r="W130">
        <v>4</v>
      </c>
      <c r="X130">
        <v>1520</v>
      </c>
      <c r="Y130">
        <v>788</v>
      </c>
      <c r="Z130">
        <v>1</v>
      </c>
      <c r="AA130">
        <v>2</v>
      </c>
      <c r="AB130">
        <v>2</v>
      </c>
      <c r="AC130">
        <v>12582</v>
      </c>
      <c r="AD130">
        <v>26</v>
      </c>
      <c r="AE130">
        <v>1910</v>
      </c>
      <c r="AF130">
        <v>2111</v>
      </c>
      <c r="AG130">
        <v>1014</v>
      </c>
      <c r="AH130">
        <v>212</v>
      </c>
      <c r="AI130">
        <v>20669</v>
      </c>
      <c r="AJ130">
        <v>38</v>
      </c>
      <c r="AK130">
        <v>4</v>
      </c>
      <c r="AL130">
        <v>493</v>
      </c>
      <c r="AM130">
        <v>0</v>
      </c>
      <c r="AN130">
        <v>36</v>
      </c>
      <c r="AO130">
        <v>6</v>
      </c>
      <c r="AP130" t="s">
        <v>49</v>
      </c>
    </row>
    <row r="131" spans="1:42" x14ac:dyDescent="0.3">
      <c r="A131" t="s">
        <v>23</v>
      </c>
      <c r="B131">
        <v>11</v>
      </c>
      <c r="C131">
        <v>17</v>
      </c>
      <c r="D131">
        <v>50</v>
      </c>
      <c r="E131">
        <v>48</v>
      </c>
      <c r="F131">
        <v>3</v>
      </c>
      <c r="G131">
        <v>460</v>
      </c>
      <c r="H131">
        <v>160</v>
      </c>
      <c r="I131">
        <v>19</v>
      </c>
      <c r="J131">
        <v>10</v>
      </c>
      <c r="K131">
        <v>6</v>
      </c>
      <c r="L131">
        <v>1</v>
      </c>
      <c r="M131">
        <v>43</v>
      </c>
      <c r="N131">
        <v>7</v>
      </c>
      <c r="O131">
        <v>2</v>
      </c>
      <c r="P131">
        <v>74</v>
      </c>
      <c r="Q131">
        <v>8</v>
      </c>
      <c r="R131">
        <v>60</v>
      </c>
      <c r="S131">
        <v>0</v>
      </c>
      <c r="T131">
        <v>161</v>
      </c>
      <c r="U131">
        <v>745</v>
      </c>
      <c r="V131">
        <v>680</v>
      </c>
      <c r="W131">
        <v>3</v>
      </c>
      <c r="X131">
        <v>1274</v>
      </c>
      <c r="Y131">
        <v>669</v>
      </c>
      <c r="Z131">
        <v>0</v>
      </c>
      <c r="AA131">
        <v>6</v>
      </c>
      <c r="AB131">
        <v>3</v>
      </c>
      <c r="AC131">
        <v>16940</v>
      </c>
      <c r="AD131">
        <v>40</v>
      </c>
      <c r="AE131">
        <v>2131</v>
      </c>
      <c r="AF131">
        <v>2887</v>
      </c>
      <c r="AG131">
        <v>733</v>
      </c>
      <c r="AH131">
        <v>176</v>
      </c>
      <c r="AI131">
        <v>24744</v>
      </c>
      <c r="AJ131">
        <v>34</v>
      </c>
      <c r="AK131">
        <v>7</v>
      </c>
      <c r="AL131">
        <v>446</v>
      </c>
      <c r="AM131">
        <v>3</v>
      </c>
      <c r="AN131">
        <v>67</v>
      </c>
      <c r="AO131">
        <v>24</v>
      </c>
      <c r="AP131" t="s">
        <v>49</v>
      </c>
    </row>
    <row r="132" spans="1:42" x14ac:dyDescent="0.3">
      <c r="A132" t="s">
        <v>10</v>
      </c>
      <c r="B132">
        <v>11</v>
      </c>
      <c r="C132">
        <v>19</v>
      </c>
      <c r="D132">
        <v>45</v>
      </c>
      <c r="E132">
        <v>71</v>
      </c>
      <c r="F132">
        <v>4</v>
      </c>
      <c r="G132">
        <v>533</v>
      </c>
      <c r="H132">
        <v>174</v>
      </c>
      <c r="I132">
        <v>12</v>
      </c>
      <c r="J132">
        <v>6</v>
      </c>
      <c r="K132">
        <v>4</v>
      </c>
      <c r="L132">
        <v>3</v>
      </c>
      <c r="M132">
        <v>34</v>
      </c>
      <c r="N132">
        <v>11</v>
      </c>
      <c r="O132">
        <v>2</v>
      </c>
      <c r="P132">
        <v>84</v>
      </c>
      <c r="Q132">
        <v>6</v>
      </c>
      <c r="R132">
        <v>68</v>
      </c>
      <c r="S132">
        <v>0</v>
      </c>
      <c r="T132">
        <v>115</v>
      </c>
      <c r="U132">
        <v>478</v>
      </c>
      <c r="V132">
        <v>732</v>
      </c>
      <c r="W132">
        <v>9</v>
      </c>
      <c r="X132">
        <v>1584</v>
      </c>
      <c r="Y132">
        <v>741</v>
      </c>
      <c r="Z132">
        <v>1</v>
      </c>
      <c r="AA132">
        <v>4</v>
      </c>
      <c r="AB132">
        <v>4</v>
      </c>
      <c r="AC132">
        <v>14599</v>
      </c>
      <c r="AD132">
        <v>84</v>
      </c>
      <c r="AE132">
        <v>2285</v>
      </c>
      <c r="AF132">
        <v>2364</v>
      </c>
      <c r="AG132">
        <v>941</v>
      </c>
      <c r="AH132">
        <v>203</v>
      </c>
      <c r="AI132">
        <v>23005</v>
      </c>
      <c r="AJ132">
        <v>44</v>
      </c>
      <c r="AK132">
        <v>5</v>
      </c>
      <c r="AL132">
        <v>506</v>
      </c>
      <c r="AM132">
        <v>0</v>
      </c>
      <c r="AN132">
        <v>74</v>
      </c>
      <c r="AO132">
        <v>38</v>
      </c>
      <c r="AP132" t="s">
        <v>49</v>
      </c>
    </row>
    <row r="133" spans="1:42" x14ac:dyDescent="0.3">
      <c r="A133" t="s">
        <v>48</v>
      </c>
      <c r="B133">
        <v>11</v>
      </c>
      <c r="C133">
        <v>14</v>
      </c>
      <c r="D133">
        <v>47</v>
      </c>
      <c r="E133">
        <v>58</v>
      </c>
      <c r="F133">
        <v>2</v>
      </c>
      <c r="G133">
        <v>504</v>
      </c>
      <c r="H133">
        <v>167</v>
      </c>
      <c r="I133">
        <v>11</v>
      </c>
      <c r="J133">
        <v>7</v>
      </c>
      <c r="K133">
        <v>0</v>
      </c>
      <c r="L133">
        <v>1</v>
      </c>
      <c r="M133">
        <v>41</v>
      </c>
      <c r="N133">
        <v>6</v>
      </c>
      <c r="O133">
        <v>2</v>
      </c>
      <c r="P133">
        <v>87</v>
      </c>
      <c r="Q133">
        <v>10</v>
      </c>
      <c r="R133">
        <v>51</v>
      </c>
      <c r="S133">
        <v>0</v>
      </c>
      <c r="T133">
        <v>157</v>
      </c>
      <c r="U133">
        <v>697</v>
      </c>
      <c r="V133">
        <v>686</v>
      </c>
      <c r="W133">
        <v>2</v>
      </c>
      <c r="X133">
        <v>1353</v>
      </c>
      <c r="Y133">
        <v>695</v>
      </c>
      <c r="Z133">
        <v>1</v>
      </c>
      <c r="AA133">
        <v>5</v>
      </c>
      <c r="AB133">
        <v>4</v>
      </c>
      <c r="AC133">
        <v>19943</v>
      </c>
      <c r="AD133">
        <v>79</v>
      </c>
      <c r="AE133">
        <v>2024</v>
      </c>
      <c r="AF133">
        <v>3599</v>
      </c>
      <c r="AG133">
        <v>790</v>
      </c>
      <c r="AH133">
        <v>193</v>
      </c>
      <c r="AI133">
        <v>27641</v>
      </c>
      <c r="AJ133">
        <v>42</v>
      </c>
      <c r="AK133">
        <v>10</v>
      </c>
      <c r="AL133">
        <v>361</v>
      </c>
      <c r="AM133">
        <v>1</v>
      </c>
      <c r="AN133">
        <v>51</v>
      </c>
      <c r="AO133">
        <v>25</v>
      </c>
      <c r="AP133" t="s">
        <v>49</v>
      </c>
    </row>
    <row r="134" spans="1:42" x14ac:dyDescent="0.3">
      <c r="A134" t="s">
        <v>6</v>
      </c>
      <c r="B134">
        <v>10</v>
      </c>
      <c r="C134">
        <v>17</v>
      </c>
      <c r="D134">
        <v>47</v>
      </c>
      <c r="E134">
        <v>72</v>
      </c>
      <c r="F134">
        <v>3</v>
      </c>
      <c r="G134">
        <v>438</v>
      </c>
      <c r="H134">
        <v>141</v>
      </c>
      <c r="I134">
        <v>10</v>
      </c>
      <c r="J134">
        <v>7</v>
      </c>
      <c r="K134">
        <v>3</v>
      </c>
      <c r="L134">
        <v>1</v>
      </c>
      <c r="M134">
        <v>35</v>
      </c>
      <c r="N134">
        <v>12</v>
      </c>
      <c r="O134">
        <v>6</v>
      </c>
      <c r="P134">
        <v>97</v>
      </c>
      <c r="Q134">
        <v>5</v>
      </c>
      <c r="R134">
        <v>69</v>
      </c>
      <c r="S134">
        <v>2</v>
      </c>
      <c r="T134">
        <v>177</v>
      </c>
      <c r="U134">
        <v>769</v>
      </c>
      <c r="V134">
        <v>741</v>
      </c>
      <c r="W134">
        <v>9</v>
      </c>
      <c r="X134">
        <v>1520</v>
      </c>
      <c r="Y134">
        <v>733</v>
      </c>
      <c r="Z134">
        <v>5</v>
      </c>
      <c r="AA134">
        <v>8</v>
      </c>
      <c r="AB134">
        <v>7</v>
      </c>
      <c r="AC134">
        <v>14247</v>
      </c>
      <c r="AD134">
        <v>58</v>
      </c>
      <c r="AE134">
        <v>1900</v>
      </c>
      <c r="AF134">
        <v>2236</v>
      </c>
      <c r="AG134">
        <v>676</v>
      </c>
      <c r="AH134">
        <v>177</v>
      </c>
      <c r="AI134">
        <v>22314</v>
      </c>
      <c r="AJ134">
        <v>33</v>
      </c>
      <c r="AK134">
        <v>9</v>
      </c>
      <c r="AL134">
        <v>505</v>
      </c>
      <c r="AM134">
        <v>1</v>
      </c>
      <c r="AN134">
        <v>101</v>
      </c>
      <c r="AO134">
        <v>25</v>
      </c>
      <c r="AP134" t="s">
        <v>49</v>
      </c>
    </row>
    <row r="135" spans="1:42" x14ac:dyDescent="0.3">
      <c r="A135" t="s">
        <v>47</v>
      </c>
      <c r="B135">
        <v>10</v>
      </c>
      <c r="C135">
        <v>14</v>
      </c>
      <c r="D135">
        <v>41</v>
      </c>
      <c r="E135">
        <v>60</v>
      </c>
      <c r="F135">
        <v>1</v>
      </c>
      <c r="G135">
        <v>413</v>
      </c>
      <c r="H135">
        <v>134</v>
      </c>
      <c r="I135">
        <v>7</v>
      </c>
      <c r="J135">
        <v>13</v>
      </c>
      <c r="K135">
        <v>1</v>
      </c>
      <c r="L135">
        <v>4</v>
      </c>
      <c r="M135">
        <v>36</v>
      </c>
      <c r="N135">
        <v>5</v>
      </c>
      <c r="O135">
        <v>0</v>
      </c>
      <c r="P135">
        <v>97</v>
      </c>
      <c r="Q135">
        <v>10</v>
      </c>
      <c r="R135">
        <v>58</v>
      </c>
      <c r="S135">
        <v>0</v>
      </c>
      <c r="T135">
        <v>141</v>
      </c>
      <c r="U135">
        <v>540</v>
      </c>
      <c r="V135">
        <v>676</v>
      </c>
      <c r="W135">
        <v>4</v>
      </c>
      <c r="X135">
        <v>1146</v>
      </c>
      <c r="Y135">
        <v>437</v>
      </c>
      <c r="Z135">
        <v>3</v>
      </c>
      <c r="AA135">
        <v>7</v>
      </c>
      <c r="AB135">
        <v>4</v>
      </c>
      <c r="AC135">
        <v>13403</v>
      </c>
      <c r="AD135">
        <v>47</v>
      </c>
      <c r="AE135">
        <v>1994</v>
      </c>
      <c r="AF135">
        <v>2178</v>
      </c>
      <c r="AG135">
        <v>837</v>
      </c>
      <c r="AH135">
        <v>172</v>
      </c>
      <c r="AI135">
        <v>20675</v>
      </c>
      <c r="AJ135">
        <v>40</v>
      </c>
      <c r="AK135">
        <v>5</v>
      </c>
      <c r="AL135">
        <v>387</v>
      </c>
      <c r="AM135">
        <v>2</v>
      </c>
      <c r="AN135">
        <v>46</v>
      </c>
      <c r="AO135">
        <v>19</v>
      </c>
      <c r="AP135" t="s">
        <v>49</v>
      </c>
    </row>
    <row r="136" spans="1:42" x14ac:dyDescent="0.3">
      <c r="A136" t="s">
        <v>50</v>
      </c>
      <c r="B136">
        <v>9</v>
      </c>
      <c r="C136">
        <v>15</v>
      </c>
      <c r="D136">
        <v>49</v>
      </c>
      <c r="E136">
        <v>43</v>
      </c>
      <c r="F136">
        <v>2</v>
      </c>
      <c r="G136">
        <v>516</v>
      </c>
      <c r="H136">
        <v>167</v>
      </c>
      <c r="I136">
        <v>16</v>
      </c>
      <c r="J136">
        <v>9</v>
      </c>
      <c r="K136">
        <v>3</v>
      </c>
      <c r="L136">
        <v>2</v>
      </c>
      <c r="M136">
        <v>45</v>
      </c>
      <c r="N136">
        <v>4</v>
      </c>
      <c r="O136">
        <v>2</v>
      </c>
      <c r="P136">
        <v>86</v>
      </c>
      <c r="Q136">
        <v>7</v>
      </c>
      <c r="R136">
        <v>60</v>
      </c>
      <c r="S136">
        <v>0</v>
      </c>
      <c r="T136">
        <v>109</v>
      </c>
      <c r="U136">
        <v>779</v>
      </c>
      <c r="V136">
        <v>819</v>
      </c>
      <c r="W136">
        <v>21</v>
      </c>
      <c r="X136">
        <v>1275</v>
      </c>
      <c r="Y136">
        <v>566</v>
      </c>
      <c r="Z136">
        <v>5</v>
      </c>
      <c r="AA136">
        <v>5</v>
      </c>
      <c r="AB136">
        <v>2</v>
      </c>
      <c r="AC136">
        <v>16810</v>
      </c>
      <c r="AD136">
        <v>247</v>
      </c>
      <c r="AE136">
        <v>1826</v>
      </c>
      <c r="AF136">
        <v>2578</v>
      </c>
      <c r="AG136">
        <v>917</v>
      </c>
      <c r="AH136">
        <v>209</v>
      </c>
      <c r="AI136">
        <v>25365</v>
      </c>
      <c r="AJ136">
        <v>41</v>
      </c>
      <c r="AK136">
        <v>3</v>
      </c>
      <c r="AL136">
        <v>477</v>
      </c>
      <c r="AM136">
        <v>3</v>
      </c>
      <c r="AN136">
        <v>56</v>
      </c>
      <c r="AO136">
        <v>16</v>
      </c>
      <c r="AP136" t="s">
        <v>49</v>
      </c>
    </row>
    <row r="137" spans="1:42" x14ac:dyDescent="0.3">
      <c r="A137" t="s">
        <v>37</v>
      </c>
      <c r="B137">
        <v>9</v>
      </c>
      <c r="C137">
        <v>14</v>
      </c>
      <c r="D137">
        <v>34</v>
      </c>
      <c r="E137">
        <v>78</v>
      </c>
      <c r="F137">
        <v>4</v>
      </c>
      <c r="G137">
        <v>390</v>
      </c>
      <c r="H137">
        <v>114</v>
      </c>
      <c r="I137">
        <v>12</v>
      </c>
      <c r="J137">
        <v>9</v>
      </c>
      <c r="K137">
        <v>3</v>
      </c>
      <c r="L137">
        <v>0</v>
      </c>
      <c r="M137">
        <v>33</v>
      </c>
      <c r="N137">
        <v>1</v>
      </c>
      <c r="O137">
        <v>1</v>
      </c>
      <c r="P137">
        <v>72</v>
      </c>
      <c r="Q137">
        <v>12</v>
      </c>
      <c r="R137">
        <v>45</v>
      </c>
      <c r="S137">
        <v>9</v>
      </c>
      <c r="T137">
        <v>159</v>
      </c>
      <c r="U137">
        <v>499</v>
      </c>
      <c r="V137">
        <v>728</v>
      </c>
      <c r="W137">
        <v>5</v>
      </c>
      <c r="X137">
        <v>1161</v>
      </c>
      <c r="Y137">
        <v>567</v>
      </c>
      <c r="Z137">
        <v>4</v>
      </c>
      <c r="AA137">
        <v>6</v>
      </c>
      <c r="AB137">
        <v>6</v>
      </c>
      <c r="AC137">
        <v>12287</v>
      </c>
      <c r="AD137">
        <v>32</v>
      </c>
      <c r="AE137">
        <v>1989</v>
      </c>
      <c r="AF137">
        <v>1838</v>
      </c>
      <c r="AG137">
        <v>855</v>
      </c>
      <c r="AH137">
        <v>165</v>
      </c>
      <c r="AI137">
        <v>19830</v>
      </c>
      <c r="AJ137">
        <v>35</v>
      </c>
      <c r="AK137">
        <v>3</v>
      </c>
      <c r="AL137">
        <v>397</v>
      </c>
      <c r="AM137">
        <v>0</v>
      </c>
      <c r="AN137">
        <v>91</v>
      </c>
      <c r="AO137">
        <v>6</v>
      </c>
      <c r="AP137" t="s">
        <v>49</v>
      </c>
    </row>
    <row r="138" spans="1:42" x14ac:dyDescent="0.3">
      <c r="A138" t="s">
        <v>29</v>
      </c>
      <c r="B138">
        <v>9</v>
      </c>
      <c r="C138">
        <v>17</v>
      </c>
      <c r="D138">
        <v>41</v>
      </c>
      <c r="E138">
        <v>62</v>
      </c>
      <c r="F138">
        <v>3</v>
      </c>
      <c r="G138">
        <v>417</v>
      </c>
      <c r="H138">
        <v>139</v>
      </c>
      <c r="I138">
        <v>7</v>
      </c>
      <c r="J138">
        <v>2</v>
      </c>
      <c r="K138">
        <v>4</v>
      </c>
      <c r="L138">
        <v>1</v>
      </c>
      <c r="M138">
        <v>33</v>
      </c>
      <c r="N138">
        <v>8</v>
      </c>
      <c r="O138">
        <v>3</v>
      </c>
      <c r="P138">
        <v>68</v>
      </c>
      <c r="Q138">
        <v>11</v>
      </c>
      <c r="R138">
        <v>54</v>
      </c>
      <c r="S138">
        <v>0</v>
      </c>
      <c r="T138">
        <v>178</v>
      </c>
      <c r="U138">
        <v>582</v>
      </c>
      <c r="V138">
        <v>784</v>
      </c>
      <c r="W138">
        <v>9</v>
      </c>
      <c r="X138">
        <v>1155</v>
      </c>
      <c r="Y138">
        <v>607</v>
      </c>
      <c r="Z138">
        <v>4</v>
      </c>
      <c r="AA138">
        <v>4</v>
      </c>
      <c r="AB138">
        <v>4</v>
      </c>
      <c r="AC138">
        <v>13109</v>
      </c>
      <c r="AD138">
        <v>52</v>
      </c>
      <c r="AE138">
        <v>1952</v>
      </c>
      <c r="AF138">
        <v>1984</v>
      </c>
      <c r="AG138">
        <v>868</v>
      </c>
      <c r="AH138">
        <v>179</v>
      </c>
      <c r="AI138">
        <v>20782</v>
      </c>
      <c r="AJ138">
        <v>30</v>
      </c>
      <c r="AK138">
        <v>8</v>
      </c>
      <c r="AL138">
        <v>423</v>
      </c>
      <c r="AM138">
        <v>0</v>
      </c>
      <c r="AN138">
        <v>52</v>
      </c>
      <c r="AO138">
        <v>39</v>
      </c>
      <c r="AP138" t="s">
        <v>49</v>
      </c>
    </row>
    <row r="139" spans="1:42" x14ac:dyDescent="0.3">
      <c r="A139" t="s">
        <v>11</v>
      </c>
      <c r="B139">
        <v>9</v>
      </c>
      <c r="C139">
        <v>20</v>
      </c>
      <c r="D139">
        <v>47</v>
      </c>
      <c r="E139">
        <v>66</v>
      </c>
      <c r="F139">
        <v>2</v>
      </c>
      <c r="G139">
        <v>500</v>
      </c>
      <c r="H139">
        <v>170</v>
      </c>
      <c r="I139">
        <v>7</v>
      </c>
      <c r="J139">
        <v>9</v>
      </c>
      <c r="K139">
        <v>1</v>
      </c>
      <c r="L139">
        <v>2</v>
      </c>
      <c r="M139">
        <v>42</v>
      </c>
      <c r="N139">
        <v>5</v>
      </c>
      <c r="O139">
        <v>3</v>
      </c>
      <c r="P139">
        <v>83</v>
      </c>
      <c r="Q139">
        <v>5</v>
      </c>
      <c r="R139">
        <v>73</v>
      </c>
      <c r="S139">
        <v>0</v>
      </c>
      <c r="T139">
        <v>135</v>
      </c>
      <c r="U139">
        <v>692</v>
      </c>
      <c r="V139">
        <v>716</v>
      </c>
      <c r="W139">
        <v>3</v>
      </c>
      <c r="X139">
        <v>901</v>
      </c>
      <c r="Y139">
        <v>423</v>
      </c>
      <c r="Z139">
        <v>3</v>
      </c>
      <c r="AA139">
        <v>7</v>
      </c>
      <c r="AB139">
        <v>6</v>
      </c>
      <c r="AC139">
        <v>17927</v>
      </c>
      <c r="AD139">
        <v>54</v>
      </c>
      <c r="AE139">
        <v>2048</v>
      </c>
      <c r="AF139">
        <v>2773</v>
      </c>
      <c r="AG139">
        <v>813</v>
      </c>
      <c r="AH139">
        <v>198</v>
      </c>
      <c r="AI139">
        <v>25173</v>
      </c>
      <c r="AJ139">
        <v>36</v>
      </c>
      <c r="AK139">
        <v>5</v>
      </c>
      <c r="AL139">
        <v>418</v>
      </c>
      <c r="AM139">
        <v>1</v>
      </c>
      <c r="AN139">
        <v>41</v>
      </c>
      <c r="AO139">
        <v>28</v>
      </c>
      <c r="AP139" t="s">
        <v>49</v>
      </c>
    </row>
    <row r="140" spans="1:42" x14ac:dyDescent="0.3">
      <c r="A140" t="s">
        <v>16</v>
      </c>
      <c r="B140">
        <v>6</v>
      </c>
      <c r="C140">
        <v>22</v>
      </c>
      <c r="D140">
        <v>43</v>
      </c>
      <c r="E140">
        <v>45</v>
      </c>
      <c r="F140">
        <v>1</v>
      </c>
      <c r="G140">
        <v>394</v>
      </c>
      <c r="H140">
        <v>128</v>
      </c>
      <c r="I140">
        <v>9</v>
      </c>
      <c r="J140">
        <v>12</v>
      </c>
      <c r="K140">
        <v>4</v>
      </c>
      <c r="L140">
        <v>1</v>
      </c>
      <c r="M140">
        <v>39</v>
      </c>
      <c r="N140">
        <v>4</v>
      </c>
      <c r="O140">
        <v>2</v>
      </c>
      <c r="P140">
        <v>80</v>
      </c>
      <c r="Q140">
        <v>5</v>
      </c>
      <c r="R140">
        <v>73</v>
      </c>
      <c r="S140">
        <v>0</v>
      </c>
      <c r="T140">
        <v>166</v>
      </c>
      <c r="U140">
        <v>560</v>
      </c>
      <c r="V140">
        <v>602</v>
      </c>
      <c r="W140">
        <v>10</v>
      </c>
      <c r="X140">
        <v>1300</v>
      </c>
      <c r="Y140">
        <v>620</v>
      </c>
      <c r="Z140">
        <v>0</v>
      </c>
      <c r="AA140">
        <v>4</v>
      </c>
      <c r="AB140">
        <v>4</v>
      </c>
      <c r="AC140">
        <v>11806</v>
      </c>
      <c r="AD140">
        <v>38</v>
      </c>
      <c r="AE140">
        <v>1855</v>
      </c>
      <c r="AF140">
        <v>1760</v>
      </c>
      <c r="AG140">
        <v>1009</v>
      </c>
      <c r="AH140">
        <v>189</v>
      </c>
      <c r="AI140">
        <v>19613</v>
      </c>
      <c r="AJ140">
        <v>25</v>
      </c>
      <c r="AK140">
        <v>12</v>
      </c>
      <c r="AL140">
        <v>442</v>
      </c>
      <c r="AM140">
        <v>0</v>
      </c>
      <c r="AN140">
        <v>47</v>
      </c>
      <c r="AO140">
        <v>37</v>
      </c>
      <c r="AP140" t="s">
        <v>49</v>
      </c>
    </row>
    <row r="141" spans="1:42" x14ac:dyDescent="0.3">
      <c r="A141" t="s">
        <v>46</v>
      </c>
      <c r="B141">
        <v>4</v>
      </c>
      <c r="C141">
        <v>21</v>
      </c>
      <c r="D141">
        <v>30</v>
      </c>
      <c r="E141">
        <v>59</v>
      </c>
      <c r="F141">
        <v>3</v>
      </c>
      <c r="G141">
        <v>500</v>
      </c>
      <c r="H141">
        <v>146</v>
      </c>
      <c r="I141">
        <v>9</v>
      </c>
      <c r="J141">
        <v>4</v>
      </c>
      <c r="K141">
        <v>1</v>
      </c>
      <c r="L141">
        <v>0</v>
      </c>
      <c r="M141">
        <v>18</v>
      </c>
      <c r="N141">
        <v>12</v>
      </c>
      <c r="O141">
        <v>3</v>
      </c>
      <c r="P141">
        <v>108</v>
      </c>
      <c r="Q141">
        <v>7</v>
      </c>
      <c r="R141">
        <v>60</v>
      </c>
      <c r="S141">
        <v>0</v>
      </c>
      <c r="T141">
        <v>174</v>
      </c>
      <c r="U141">
        <v>660</v>
      </c>
      <c r="V141">
        <v>818</v>
      </c>
      <c r="W141">
        <v>4</v>
      </c>
      <c r="X141">
        <v>1363</v>
      </c>
      <c r="Y141">
        <v>703</v>
      </c>
      <c r="Z141">
        <v>5</v>
      </c>
      <c r="AA141">
        <v>3</v>
      </c>
      <c r="AB141">
        <v>3</v>
      </c>
      <c r="AC141">
        <v>13632</v>
      </c>
      <c r="AD141">
        <v>50</v>
      </c>
      <c r="AE141">
        <v>1800</v>
      </c>
      <c r="AF141">
        <v>1925</v>
      </c>
      <c r="AG141">
        <v>683</v>
      </c>
      <c r="AH141">
        <v>170</v>
      </c>
      <c r="AI141">
        <v>21941</v>
      </c>
      <c r="AJ141">
        <v>32</v>
      </c>
      <c r="AK141">
        <v>8</v>
      </c>
      <c r="AL141">
        <v>453</v>
      </c>
      <c r="AM141">
        <v>0</v>
      </c>
      <c r="AN141">
        <v>56</v>
      </c>
      <c r="AO141">
        <v>37</v>
      </c>
      <c r="AP141" t="s">
        <v>49</v>
      </c>
    </row>
    <row r="142" spans="1:42" x14ac:dyDescent="0.3">
      <c r="A142" t="s">
        <v>26</v>
      </c>
      <c r="B142">
        <v>27</v>
      </c>
      <c r="C142">
        <v>6</v>
      </c>
      <c r="D142">
        <v>102</v>
      </c>
      <c r="E142">
        <v>72</v>
      </c>
      <c r="F142">
        <v>1</v>
      </c>
      <c r="G142">
        <v>673</v>
      </c>
      <c r="H142">
        <v>238</v>
      </c>
      <c r="I142">
        <v>19</v>
      </c>
      <c r="J142">
        <v>10</v>
      </c>
      <c r="K142">
        <v>6</v>
      </c>
      <c r="L142">
        <v>5</v>
      </c>
      <c r="M142">
        <v>86</v>
      </c>
      <c r="N142">
        <v>16</v>
      </c>
      <c r="O142">
        <v>5</v>
      </c>
      <c r="P142">
        <v>59</v>
      </c>
      <c r="Q142">
        <v>16</v>
      </c>
      <c r="R142">
        <v>37</v>
      </c>
      <c r="S142">
        <v>88</v>
      </c>
      <c r="T142">
        <v>61</v>
      </c>
      <c r="U142">
        <v>496</v>
      </c>
      <c r="V142">
        <v>756</v>
      </c>
      <c r="W142">
        <v>8</v>
      </c>
      <c r="X142">
        <v>938</v>
      </c>
      <c r="Y142">
        <v>531</v>
      </c>
      <c r="Z142">
        <v>2</v>
      </c>
      <c r="AA142">
        <v>1</v>
      </c>
      <c r="AB142">
        <v>1</v>
      </c>
      <c r="AC142">
        <v>20761</v>
      </c>
      <c r="AD142">
        <v>120</v>
      </c>
      <c r="AE142">
        <v>1791</v>
      </c>
      <c r="AF142">
        <v>3195</v>
      </c>
      <c r="AG142">
        <v>892</v>
      </c>
      <c r="AH142">
        <v>283</v>
      </c>
      <c r="AI142">
        <v>28341</v>
      </c>
      <c r="AJ142">
        <v>59</v>
      </c>
      <c r="AK142">
        <v>0</v>
      </c>
      <c r="AL142">
        <v>411</v>
      </c>
      <c r="AM142">
        <v>0</v>
      </c>
      <c r="AN142">
        <v>64</v>
      </c>
      <c r="AO142">
        <v>31</v>
      </c>
      <c r="AP142" t="s">
        <v>51</v>
      </c>
    </row>
    <row r="143" spans="1:42" x14ac:dyDescent="0.3">
      <c r="A143" t="s">
        <v>2</v>
      </c>
      <c r="B143">
        <v>26</v>
      </c>
      <c r="C143">
        <v>6</v>
      </c>
      <c r="D143">
        <v>101</v>
      </c>
      <c r="E143">
        <v>54</v>
      </c>
      <c r="F143">
        <v>1</v>
      </c>
      <c r="G143">
        <v>651</v>
      </c>
      <c r="H143">
        <v>258</v>
      </c>
      <c r="I143">
        <v>27</v>
      </c>
      <c r="J143">
        <v>14</v>
      </c>
      <c r="K143">
        <v>10</v>
      </c>
      <c r="L143">
        <v>6</v>
      </c>
      <c r="M143">
        <v>82</v>
      </c>
      <c r="N143">
        <v>19</v>
      </c>
      <c r="O143">
        <v>9</v>
      </c>
      <c r="P143">
        <v>78</v>
      </c>
      <c r="Q143">
        <v>10</v>
      </c>
      <c r="R143">
        <v>50</v>
      </c>
      <c r="S143">
        <v>107</v>
      </c>
      <c r="T143">
        <v>127</v>
      </c>
      <c r="U143">
        <v>465</v>
      </c>
      <c r="V143">
        <v>848</v>
      </c>
      <c r="W143">
        <v>3</v>
      </c>
      <c r="X143">
        <v>1339</v>
      </c>
      <c r="Y143">
        <v>750</v>
      </c>
      <c r="Z143">
        <v>6</v>
      </c>
      <c r="AA143">
        <v>4</v>
      </c>
      <c r="AB143">
        <v>3</v>
      </c>
      <c r="AC143">
        <v>19599</v>
      </c>
      <c r="AD143">
        <v>191</v>
      </c>
      <c r="AE143">
        <v>1895</v>
      </c>
      <c r="AF143">
        <v>2959</v>
      </c>
      <c r="AG143">
        <v>643</v>
      </c>
      <c r="AH143">
        <v>224</v>
      </c>
      <c r="AI143">
        <v>28172</v>
      </c>
      <c r="AJ143">
        <v>64</v>
      </c>
      <c r="AK143">
        <v>5</v>
      </c>
      <c r="AL143">
        <v>427</v>
      </c>
      <c r="AM143">
        <v>1</v>
      </c>
      <c r="AN143">
        <v>36</v>
      </c>
      <c r="AO143">
        <v>29</v>
      </c>
      <c r="AP143" t="s">
        <v>51</v>
      </c>
    </row>
    <row r="144" spans="1:42" x14ac:dyDescent="0.3">
      <c r="A144" t="s">
        <v>25</v>
      </c>
      <c r="B144">
        <v>25</v>
      </c>
      <c r="C144">
        <v>6</v>
      </c>
      <c r="D144">
        <v>71</v>
      </c>
      <c r="E144">
        <v>57</v>
      </c>
      <c r="F144">
        <v>3</v>
      </c>
      <c r="G144">
        <v>692</v>
      </c>
      <c r="H144">
        <v>229</v>
      </c>
      <c r="I144">
        <v>19</v>
      </c>
      <c r="J144">
        <v>6</v>
      </c>
      <c r="K144">
        <v>5</v>
      </c>
      <c r="L144">
        <v>2</v>
      </c>
      <c r="M144">
        <v>54</v>
      </c>
      <c r="N144">
        <v>17</v>
      </c>
      <c r="O144">
        <v>5</v>
      </c>
      <c r="P144">
        <v>106</v>
      </c>
      <c r="Q144">
        <v>18</v>
      </c>
      <c r="R144">
        <v>27</v>
      </c>
      <c r="S144">
        <v>96</v>
      </c>
      <c r="T144">
        <v>95</v>
      </c>
      <c r="U144">
        <v>380</v>
      </c>
      <c r="V144">
        <v>733</v>
      </c>
      <c r="W144">
        <v>4</v>
      </c>
      <c r="X144">
        <v>1141</v>
      </c>
      <c r="Y144">
        <v>741</v>
      </c>
      <c r="Z144">
        <v>2</v>
      </c>
      <c r="AA144">
        <v>1</v>
      </c>
      <c r="AB144">
        <v>1</v>
      </c>
      <c r="AC144">
        <v>18266</v>
      </c>
      <c r="AD144">
        <v>53</v>
      </c>
      <c r="AE144">
        <v>2052</v>
      </c>
      <c r="AF144">
        <v>2800</v>
      </c>
      <c r="AG144">
        <v>809</v>
      </c>
      <c r="AH144">
        <v>248</v>
      </c>
      <c r="AI144">
        <v>26541</v>
      </c>
      <c r="AJ144">
        <v>44</v>
      </c>
      <c r="AK144">
        <v>2</v>
      </c>
      <c r="AL144">
        <v>392</v>
      </c>
      <c r="AM144">
        <v>0</v>
      </c>
      <c r="AN144">
        <v>42</v>
      </c>
      <c r="AO144">
        <v>16</v>
      </c>
      <c r="AP144" t="s">
        <v>51</v>
      </c>
    </row>
    <row r="145" spans="1:42" x14ac:dyDescent="0.3">
      <c r="A145" t="s">
        <v>5</v>
      </c>
      <c r="B145">
        <v>24</v>
      </c>
      <c r="C145">
        <v>7</v>
      </c>
      <c r="D145">
        <v>68</v>
      </c>
      <c r="E145">
        <v>53</v>
      </c>
      <c r="F145">
        <v>4</v>
      </c>
      <c r="G145">
        <v>523</v>
      </c>
      <c r="H145">
        <v>213</v>
      </c>
      <c r="I145">
        <v>15</v>
      </c>
      <c r="J145">
        <v>12</v>
      </c>
      <c r="K145">
        <v>3</v>
      </c>
      <c r="L145">
        <v>0</v>
      </c>
      <c r="M145">
        <v>63</v>
      </c>
      <c r="N145">
        <v>5</v>
      </c>
      <c r="O145">
        <v>4</v>
      </c>
      <c r="P145">
        <v>74</v>
      </c>
      <c r="Q145">
        <v>17</v>
      </c>
      <c r="R145">
        <v>41</v>
      </c>
      <c r="S145">
        <v>116</v>
      </c>
      <c r="T145">
        <v>101</v>
      </c>
      <c r="U145">
        <v>541</v>
      </c>
      <c r="V145">
        <v>714</v>
      </c>
      <c r="W145">
        <v>14</v>
      </c>
      <c r="X145">
        <v>1207</v>
      </c>
      <c r="Y145">
        <v>703</v>
      </c>
      <c r="Z145">
        <v>2</v>
      </c>
      <c r="AA145">
        <v>6</v>
      </c>
      <c r="AB145">
        <v>5</v>
      </c>
      <c r="AC145">
        <v>21561</v>
      </c>
      <c r="AD145">
        <v>144</v>
      </c>
      <c r="AE145">
        <v>1799</v>
      </c>
      <c r="AF145">
        <v>3211</v>
      </c>
      <c r="AG145">
        <v>753</v>
      </c>
      <c r="AH145">
        <v>210</v>
      </c>
      <c r="AI145">
        <v>29825</v>
      </c>
      <c r="AJ145">
        <v>50</v>
      </c>
      <c r="AK145">
        <v>3</v>
      </c>
      <c r="AL145">
        <v>367</v>
      </c>
      <c r="AM145">
        <v>1</v>
      </c>
      <c r="AN145">
        <v>70</v>
      </c>
      <c r="AO145">
        <v>27</v>
      </c>
      <c r="AP145" t="s">
        <v>51</v>
      </c>
    </row>
    <row r="146" spans="1:42" x14ac:dyDescent="0.3">
      <c r="A146" t="s">
        <v>7</v>
      </c>
      <c r="B146">
        <v>21</v>
      </c>
      <c r="C146">
        <v>8</v>
      </c>
      <c r="D146">
        <v>61</v>
      </c>
      <c r="E146">
        <v>55</v>
      </c>
      <c r="F146">
        <v>1</v>
      </c>
      <c r="G146">
        <v>561</v>
      </c>
      <c r="H146">
        <v>196</v>
      </c>
      <c r="I146">
        <v>14</v>
      </c>
      <c r="J146">
        <v>6</v>
      </c>
      <c r="K146">
        <v>3</v>
      </c>
      <c r="L146">
        <v>5</v>
      </c>
      <c r="M146">
        <v>49</v>
      </c>
      <c r="N146">
        <v>12</v>
      </c>
      <c r="O146">
        <v>3</v>
      </c>
      <c r="P146">
        <v>80</v>
      </c>
      <c r="Q146">
        <v>15</v>
      </c>
      <c r="R146">
        <v>39</v>
      </c>
      <c r="S146">
        <v>117</v>
      </c>
      <c r="T146">
        <v>130</v>
      </c>
      <c r="U146">
        <v>463</v>
      </c>
      <c r="V146">
        <v>744</v>
      </c>
      <c r="W146">
        <v>9</v>
      </c>
      <c r="X146">
        <v>1103</v>
      </c>
      <c r="Y146">
        <v>672</v>
      </c>
      <c r="Z146">
        <v>4</v>
      </c>
      <c r="AA146">
        <v>6</v>
      </c>
      <c r="AB146">
        <v>3</v>
      </c>
      <c r="AC146">
        <v>18301</v>
      </c>
      <c r="AD146">
        <v>49</v>
      </c>
      <c r="AE146">
        <v>2239</v>
      </c>
      <c r="AF146">
        <v>2871</v>
      </c>
      <c r="AG146">
        <v>848</v>
      </c>
      <c r="AH146">
        <v>251</v>
      </c>
      <c r="AI146">
        <v>26857</v>
      </c>
      <c r="AJ146">
        <v>28</v>
      </c>
      <c r="AK146">
        <v>2</v>
      </c>
      <c r="AL146">
        <v>471</v>
      </c>
      <c r="AM146">
        <v>2</v>
      </c>
      <c r="AN146">
        <v>59</v>
      </c>
      <c r="AO146">
        <v>14</v>
      </c>
      <c r="AP146" t="s">
        <v>51</v>
      </c>
    </row>
    <row r="147" spans="1:42" x14ac:dyDescent="0.3">
      <c r="A147" t="s">
        <v>21</v>
      </c>
      <c r="B147">
        <v>21</v>
      </c>
      <c r="C147">
        <v>11</v>
      </c>
      <c r="D147">
        <v>55</v>
      </c>
      <c r="E147">
        <v>66</v>
      </c>
      <c r="F147">
        <v>4</v>
      </c>
      <c r="G147">
        <v>588</v>
      </c>
      <c r="H147">
        <v>192</v>
      </c>
      <c r="I147">
        <v>12</v>
      </c>
      <c r="J147">
        <v>6</v>
      </c>
      <c r="K147">
        <v>5</v>
      </c>
      <c r="L147">
        <v>2</v>
      </c>
      <c r="M147">
        <v>45</v>
      </c>
      <c r="N147">
        <v>10</v>
      </c>
      <c r="O147">
        <v>4</v>
      </c>
      <c r="P147">
        <v>64</v>
      </c>
      <c r="Q147">
        <v>14</v>
      </c>
      <c r="R147">
        <v>51</v>
      </c>
      <c r="S147">
        <v>106</v>
      </c>
      <c r="T147">
        <v>81</v>
      </c>
      <c r="U147">
        <v>560</v>
      </c>
      <c r="V147">
        <v>750</v>
      </c>
      <c r="W147">
        <v>4</v>
      </c>
      <c r="X147">
        <v>974</v>
      </c>
      <c r="Y147">
        <v>585</v>
      </c>
      <c r="Z147">
        <v>3</v>
      </c>
      <c r="AA147">
        <v>5</v>
      </c>
      <c r="AB147">
        <v>3</v>
      </c>
      <c r="AC147">
        <v>17933</v>
      </c>
      <c r="AD147">
        <v>41</v>
      </c>
      <c r="AE147">
        <v>2121</v>
      </c>
      <c r="AF147">
        <v>2596</v>
      </c>
      <c r="AG147">
        <v>849</v>
      </c>
      <c r="AH147">
        <v>230</v>
      </c>
      <c r="AI147">
        <v>26241</v>
      </c>
      <c r="AJ147">
        <v>64</v>
      </c>
      <c r="AK147">
        <v>3</v>
      </c>
      <c r="AL147">
        <v>598</v>
      </c>
      <c r="AM147">
        <v>1</v>
      </c>
      <c r="AN147">
        <v>41</v>
      </c>
      <c r="AO147">
        <v>38</v>
      </c>
      <c r="AP147" t="s">
        <v>51</v>
      </c>
    </row>
    <row r="148" spans="1:42" x14ac:dyDescent="0.3">
      <c r="A148" t="s">
        <v>22</v>
      </c>
      <c r="B148">
        <v>19</v>
      </c>
      <c r="C148">
        <v>12</v>
      </c>
      <c r="D148">
        <v>64</v>
      </c>
      <c r="E148">
        <v>66</v>
      </c>
      <c r="F148">
        <v>3</v>
      </c>
      <c r="G148">
        <v>526</v>
      </c>
      <c r="H148">
        <v>183</v>
      </c>
      <c r="I148">
        <v>16</v>
      </c>
      <c r="J148">
        <v>10</v>
      </c>
      <c r="K148">
        <v>5</v>
      </c>
      <c r="L148">
        <v>5</v>
      </c>
      <c r="M148">
        <v>53</v>
      </c>
      <c r="N148">
        <v>11</v>
      </c>
      <c r="O148">
        <v>1</v>
      </c>
      <c r="P148">
        <v>97</v>
      </c>
      <c r="Q148">
        <v>13</v>
      </c>
      <c r="R148">
        <v>43</v>
      </c>
      <c r="S148">
        <v>103</v>
      </c>
      <c r="T148">
        <v>108</v>
      </c>
      <c r="U148">
        <v>595</v>
      </c>
      <c r="V148">
        <v>676</v>
      </c>
      <c r="W148">
        <v>4</v>
      </c>
      <c r="X148">
        <v>1382</v>
      </c>
      <c r="Y148">
        <v>856</v>
      </c>
      <c r="Z148">
        <v>1</v>
      </c>
      <c r="AA148">
        <v>4</v>
      </c>
      <c r="AB148">
        <v>3</v>
      </c>
      <c r="AC148">
        <v>18894</v>
      </c>
      <c r="AD148">
        <v>61</v>
      </c>
      <c r="AE148">
        <v>2077</v>
      </c>
      <c r="AF148">
        <v>2898</v>
      </c>
      <c r="AG148">
        <v>1000</v>
      </c>
      <c r="AH148">
        <v>216</v>
      </c>
      <c r="AI148">
        <v>27367</v>
      </c>
      <c r="AJ148">
        <v>38</v>
      </c>
      <c r="AK148">
        <v>1</v>
      </c>
      <c r="AL148">
        <v>491</v>
      </c>
      <c r="AM148">
        <v>0</v>
      </c>
      <c r="AN148">
        <v>32</v>
      </c>
      <c r="AO148">
        <v>14</v>
      </c>
      <c r="AP148" t="s">
        <v>51</v>
      </c>
    </row>
    <row r="149" spans="1:42" x14ac:dyDescent="0.3">
      <c r="A149" t="s">
        <v>10</v>
      </c>
      <c r="B149">
        <v>15</v>
      </c>
      <c r="C149">
        <v>19</v>
      </c>
      <c r="D149">
        <v>43</v>
      </c>
      <c r="E149">
        <v>53</v>
      </c>
      <c r="F149">
        <v>6</v>
      </c>
      <c r="G149">
        <v>579</v>
      </c>
      <c r="H149">
        <v>182</v>
      </c>
      <c r="I149">
        <v>14</v>
      </c>
      <c r="J149">
        <v>8</v>
      </c>
      <c r="K149">
        <v>2</v>
      </c>
      <c r="L149">
        <v>1</v>
      </c>
      <c r="M149">
        <v>35</v>
      </c>
      <c r="N149">
        <v>8</v>
      </c>
      <c r="O149">
        <v>3</v>
      </c>
      <c r="P149">
        <v>78</v>
      </c>
      <c r="Q149">
        <v>10</v>
      </c>
      <c r="R149">
        <v>59</v>
      </c>
      <c r="S149">
        <v>108</v>
      </c>
      <c r="T149">
        <v>101</v>
      </c>
      <c r="U149">
        <v>601</v>
      </c>
      <c r="V149">
        <v>736</v>
      </c>
      <c r="W149">
        <v>15</v>
      </c>
      <c r="X149">
        <v>1110</v>
      </c>
      <c r="Y149">
        <v>596</v>
      </c>
      <c r="Z149">
        <v>1</v>
      </c>
      <c r="AA149">
        <v>5</v>
      </c>
      <c r="AB149">
        <v>5</v>
      </c>
      <c r="AC149">
        <v>16087</v>
      </c>
      <c r="AD149">
        <v>131</v>
      </c>
      <c r="AE149">
        <v>1810</v>
      </c>
      <c r="AF149">
        <v>2424</v>
      </c>
      <c r="AG149">
        <v>787</v>
      </c>
      <c r="AH149">
        <v>190</v>
      </c>
      <c r="AI149">
        <v>24484</v>
      </c>
      <c r="AJ149">
        <v>45</v>
      </c>
      <c r="AK149">
        <v>4</v>
      </c>
      <c r="AL149">
        <v>453</v>
      </c>
      <c r="AM149">
        <v>0</v>
      </c>
      <c r="AN149">
        <v>51</v>
      </c>
      <c r="AO149">
        <v>21</v>
      </c>
      <c r="AP149" t="s">
        <v>51</v>
      </c>
    </row>
    <row r="150" spans="1:42" x14ac:dyDescent="0.3">
      <c r="A150" t="s">
        <v>50</v>
      </c>
      <c r="B150">
        <v>15</v>
      </c>
      <c r="C150">
        <v>12</v>
      </c>
      <c r="D150">
        <v>54</v>
      </c>
      <c r="E150">
        <v>60</v>
      </c>
      <c r="F150">
        <v>0</v>
      </c>
      <c r="G150">
        <v>534</v>
      </c>
      <c r="H150">
        <v>179</v>
      </c>
      <c r="I150">
        <v>16</v>
      </c>
      <c r="J150">
        <v>10</v>
      </c>
      <c r="K150">
        <v>3</v>
      </c>
      <c r="L150">
        <v>2</v>
      </c>
      <c r="M150">
        <v>46</v>
      </c>
      <c r="N150">
        <v>8</v>
      </c>
      <c r="O150">
        <v>2</v>
      </c>
      <c r="P150">
        <v>97</v>
      </c>
      <c r="Q150">
        <v>15</v>
      </c>
      <c r="R150">
        <v>46</v>
      </c>
      <c r="S150">
        <v>85</v>
      </c>
      <c r="T150">
        <v>66</v>
      </c>
      <c r="U150">
        <v>528</v>
      </c>
      <c r="V150">
        <v>805</v>
      </c>
      <c r="W150">
        <v>6</v>
      </c>
      <c r="X150">
        <v>1201</v>
      </c>
      <c r="Y150">
        <v>638</v>
      </c>
      <c r="Z150">
        <v>1</v>
      </c>
      <c r="AA150">
        <v>3</v>
      </c>
      <c r="AB150">
        <v>3</v>
      </c>
      <c r="AC150">
        <v>19577</v>
      </c>
      <c r="AD150">
        <v>80</v>
      </c>
      <c r="AE150">
        <v>2401</v>
      </c>
      <c r="AF150">
        <v>3121</v>
      </c>
      <c r="AG150">
        <v>877</v>
      </c>
      <c r="AH150">
        <v>210</v>
      </c>
      <c r="AI150">
        <v>28030</v>
      </c>
      <c r="AJ150">
        <v>37</v>
      </c>
      <c r="AK150">
        <v>1</v>
      </c>
      <c r="AL150">
        <v>522</v>
      </c>
      <c r="AM150">
        <v>0</v>
      </c>
      <c r="AN150">
        <v>50</v>
      </c>
      <c r="AO150">
        <v>18</v>
      </c>
      <c r="AP150" t="s">
        <v>51</v>
      </c>
    </row>
    <row r="151" spans="1:42" x14ac:dyDescent="0.3">
      <c r="A151" t="s">
        <v>53</v>
      </c>
      <c r="B151">
        <v>13</v>
      </c>
      <c r="C151">
        <v>19</v>
      </c>
      <c r="D151">
        <v>33</v>
      </c>
      <c r="E151">
        <v>58</v>
      </c>
      <c r="F151">
        <v>2</v>
      </c>
      <c r="G151">
        <v>414</v>
      </c>
      <c r="H151">
        <v>143</v>
      </c>
      <c r="I151">
        <v>9</v>
      </c>
      <c r="J151">
        <v>6</v>
      </c>
      <c r="K151">
        <v>5</v>
      </c>
      <c r="L151">
        <v>1</v>
      </c>
      <c r="M151">
        <v>28</v>
      </c>
      <c r="N151">
        <v>5</v>
      </c>
      <c r="O151">
        <v>2</v>
      </c>
      <c r="P151">
        <v>71</v>
      </c>
      <c r="Q151">
        <v>12</v>
      </c>
      <c r="R151">
        <v>48</v>
      </c>
      <c r="S151">
        <v>119</v>
      </c>
      <c r="T151">
        <v>139</v>
      </c>
      <c r="U151">
        <v>695</v>
      </c>
      <c r="V151">
        <v>845</v>
      </c>
      <c r="W151">
        <v>7</v>
      </c>
      <c r="X151">
        <v>1409</v>
      </c>
      <c r="Y151">
        <v>852</v>
      </c>
      <c r="Z151">
        <v>2</v>
      </c>
      <c r="AA151">
        <v>6</v>
      </c>
      <c r="AB151">
        <v>6</v>
      </c>
      <c r="AC151">
        <v>11792</v>
      </c>
      <c r="AD151">
        <v>19</v>
      </c>
      <c r="AE151">
        <v>1904</v>
      </c>
      <c r="AF151">
        <v>1752</v>
      </c>
      <c r="AG151">
        <v>706</v>
      </c>
      <c r="AH151">
        <v>172</v>
      </c>
      <c r="AI151">
        <v>20309</v>
      </c>
      <c r="AJ151">
        <v>31</v>
      </c>
      <c r="AK151">
        <v>4</v>
      </c>
      <c r="AL151">
        <v>361</v>
      </c>
      <c r="AM151">
        <v>0</v>
      </c>
      <c r="AN151">
        <v>81</v>
      </c>
      <c r="AO151">
        <v>8</v>
      </c>
      <c r="AP151" t="s">
        <v>51</v>
      </c>
    </row>
    <row r="152" spans="1:42" x14ac:dyDescent="0.3">
      <c r="A152" t="s">
        <v>37</v>
      </c>
      <c r="B152">
        <v>13</v>
      </c>
      <c r="C152">
        <v>14</v>
      </c>
      <c r="D152">
        <v>45</v>
      </c>
      <c r="E152">
        <v>72</v>
      </c>
      <c r="F152">
        <v>5</v>
      </c>
      <c r="G152">
        <v>428</v>
      </c>
      <c r="H152">
        <v>137</v>
      </c>
      <c r="I152">
        <v>14</v>
      </c>
      <c r="J152">
        <v>2</v>
      </c>
      <c r="K152">
        <v>4</v>
      </c>
      <c r="L152">
        <v>2</v>
      </c>
      <c r="M152">
        <v>31</v>
      </c>
      <c r="N152">
        <v>14</v>
      </c>
      <c r="O152">
        <v>3</v>
      </c>
      <c r="P152">
        <v>81</v>
      </c>
      <c r="Q152">
        <v>9</v>
      </c>
      <c r="R152">
        <v>52</v>
      </c>
      <c r="S152">
        <v>127</v>
      </c>
      <c r="T152">
        <v>153</v>
      </c>
      <c r="U152">
        <v>474</v>
      </c>
      <c r="V152">
        <v>791</v>
      </c>
      <c r="W152">
        <v>5</v>
      </c>
      <c r="X152">
        <v>1090</v>
      </c>
      <c r="Y152">
        <v>604</v>
      </c>
      <c r="Z152">
        <v>1</v>
      </c>
      <c r="AA152">
        <v>7</v>
      </c>
      <c r="AB152">
        <v>5</v>
      </c>
      <c r="AC152">
        <v>15324</v>
      </c>
      <c r="AD152">
        <v>40</v>
      </c>
      <c r="AE152">
        <v>1970</v>
      </c>
      <c r="AF152">
        <v>2453</v>
      </c>
      <c r="AG152">
        <v>731</v>
      </c>
      <c r="AH152">
        <v>164</v>
      </c>
      <c r="AI152">
        <v>23324</v>
      </c>
      <c r="AJ152">
        <v>36</v>
      </c>
      <c r="AK152">
        <v>2</v>
      </c>
      <c r="AL152">
        <v>469</v>
      </c>
      <c r="AM152">
        <v>2</v>
      </c>
      <c r="AN152">
        <v>84</v>
      </c>
      <c r="AO152">
        <v>17</v>
      </c>
      <c r="AP152" t="s">
        <v>51</v>
      </c>
    </row>
    <row r="153" spans="1:42" x14ac:dyDescent="0.3">
      <c r="A153" t="s">
        <v>48</v>
      </c>
      <c r="B153">
        <v>11</v>
      </c>
      <c r="C153">
        <v>18</v>
      </c>
      <c r="D153">
        <v>54</v>
      </c>
      <c r="E153">
        <v>55</v>
      </c>
      <c r="F153">
        <v>3</v>
      </c>
      <c r="G153">
        <v>496</v>
      </c>
      <c r="H153">
        <v>161</v>
      </c>
      <c r="I153">
        <v>7</v>
      </c>
      <c r="J153">
        <v>9</v>
      </c>
      <c r="K153">
        <v>4</v>
      </c>
      <c r="L153">
        <v>0</v>
      </c>
      <c r="M153">
        <v>45</v>
      </c>
      <c r="N153">
        <v>9</v>
      </c>
      <c r="O153">
        <v>0</v>
      </c>
      <c r="P153">
        <v>76</v>
      </c>
      <c r="Q153">
        <v>8</v>
      </c>
      <c r="R153">
        <v>54</v>
      </c>
      <c r="S153">
        <v>96</v>
      </c>
      <c r="T153">
        <v>117</v>
      </c>
      <c r="U153">
        <v>644</v>
      </c>
      <c r="V153">
        <v>674</v>
      </c>
      <c r="W153">
        <v>7</v>
      </c>
      <c r="X153">
        <v>1083</v>
      </c>
      <c r="Y153">
        <v>606</v>
      </c>
      <c r="Z153">
        <v>1</v>
      </c>
      <c r="AA153">
        <v>4</v>
      </c>
      <c r="AB153">
        <v>4</v>
      </c>
      <c r="AC153">
        <v>21113</v>
      </c>
      <c r="AD153">
        <v>49</v>
      </c>
      <c r="AE153">
        <v>2126</v>
      </c>
      <c r="AF153">
        <v>3312</v>
      </c>
      <c r="AG153">
        <v>902</v>
      </c>
      <c r="AH153">
        <v>226</v>
      </c>
      <c r="AI153">
        <v>29158</v>
      </c>
      <c r="AJ153">
        <v>20</v>
      </c>
      <c r="AK153">
        <v>6</v>
      </c>
      <c r="AL153">
        <v>400</v>
      </c>
      <c r="AM153">
        <v>0</v>
      </c>
      <c r="AN153">
        <v>45</v>
      </c>
      <c r="AO153">
        <v>20</v>
      </c>
      <c r="AP153" t="s">
        <v>51</v>
      </c>
    </row>
    <row r="154" spans="1:42" x14ac:dyDescent="0.3">
      <c r="A154" t="s">
        <v>18</v>
      </c>
      <c r="B154">
        <v>11</v>
      </c>
      <c r="C154">
        <v>20</v>
      </c>
      <c r="D154">
        <v>40</v>
      </c>
      <c r="E154">
        <v>62</v>
      </c>
      <c r="F154">
        <v>5</v>
      </c>
      <c r="G154">
        <v>422</v>
      </c>
      <c r="H154">
        <v>122</v>
      </c>
      <c r="I154">
        <v>11</v>
      </c>
      <c r="J154">
        <v>5</v>
      </c>
      <c r="K154">
        <v>2</v>
      </c>
      <c r="L154">
        <v>1</v>
      </c>
      <c r="M154">
        <v>36</v>
      </c>
      <c r="N154">
        <v>4</v>
      </c>
      <c r="O154">
        <v>2</v>
      </c>
      <c r="P154">
        <v>76</v>
      </c>
      <c r="Q154">
        <v>14</v>
      </c>
      <c r="R154">
        <v>51</v>
      </c>
      <c r="S154">
        <v>151</v>
      </c>
      <c r="T154">
        <v>199</v>
      </c>
      <c r="U154">
        <v>404</v>
      </c>
      <c r="V154">
        <v>651</v>
      </c>
      <c r="W154">
        <v>12</v>
      </c>
      <c r="X154">
        <v>1401</v>
      </c>
      <c r="Y154">
        <v>820</v>
      </c>
      <c r="Z154">
        <v>1</v>
      </c>
      <c r="AA154">
        <v>6</v>
      </c>
      <c r="AB154">
        <v>6</v>
      </c>
      <c r="AC154">
        <v>12364</v>
      </c>
      <c r="AD154">
        <v>34</v>
      </c>
      <c r="AE154">
        <v>2061</v>
      </c>
      <c r="AF154">
        <v>2016</v>
      </c>
      <c r="AG154">
        <v>951</v>
      </c>
      <c r="AH154">
        <v>185</v>
      </c>
      <c r="AI154">
        <v>20511</v>
      </c>
      <c r="AJ154">
        <v>33</v>
      </c>
      <c r="AK154">
        <v>8</v>
      </c>
      <c r="AL154">
        <v>371</v>
      </c>
      <c r="AM154">
        <v>0</v>
      </c>
      <c r="AN154">
        <v>54</v>
      </c>
      <c r="AO154">
        <v>9</v>
      </c>
      <c r="AP154" t="s">
        <v>51</v>
      </c>
    </row>
    <row r="155" spans="1:42" x14ac:dyDescent="0.3">
      <c r="A155" t="s">
        <v>6</v>
      </c>
      <c r="B155">
        <v>10</v>
      </c>
      <c r="C155">
        <v>20</v>
      </c>
      <c r="D155">
        <v>39</v>
      </c>
      <c r="E155">
        <v>78</v>
      </c>
      <c r="F155">
        <v>0</v>
      </c>
      <c r="G155">
        <v>431</v>
      </c>
      <c r="H155">
        <v>135</v>
      </c>
      <c r="I155">
        <v>11</v>
      </c>
      <c r="J155">
        <v>10</v>
      </c>
      <c r="K155">
        <v>2</v>
      </c>
      <c r="L155">
        <v>3</v>
      </c>
      <c r="M155">
        <v>33</v>
      </c>
      <c r="N155">
        <v>6</v>
      </c>
      <c r="O155">
        <v>4</v>
      </c>
      <c r="P155">
        <v>84</v>
      </c>
      <c r="Q155">
        <v>9</v>
      </c>
      <c r="R155">
        <v>61</v>
      </c>
      <c r="S155">
        <v>110</v>
      </c>
      <c r="T155">
        <v>126</v>
      </c>
      <c r="U155">
        <v>460</v>
      </c>
      <c r="V155">
        <v>747</v>
      </c>
      <c r="W155">
        <v>4</v>
      </c>
      <c r="X155">
        <v>1068</v>
      </c>
      <c r="Y155">
        <v>487</v>
      </c>
      <c r="Z155">
        <v>4</v>
      </c>
      <c r="AA155">
        <v>6</v>
      </c>
      <c r="AB155">
        <v>5</v>
      </c>
      <c r="AC155">
        <v>13856</v>
      </c>
      <c r="AD155">
        <v>30</v>
      </c>
      <c r="AE155">
        <v>2298</v>
      </c>
      <c r="AF155">
        <v>2231</v>
      </c>
      <c r="AG155">
        <v>749</v>
      </c>
      <c r="AH155">
        <v>163</v>
      </c>
      <c r="AI155">
        <v>21453</v>
      </c>
      <c r="AJ155">
        <v>27</v>
      </c>
      <c r="AK155">
        <v>3</v>
      </c>
      <c r="AL155">
        <v>359</v>
      </c>
      <c r="AM155">
        <v>1</v>
      </c>
      <c r="AN155">
        <v>102</v>
      </c>
      <c r="AO155">
        <v>15</v>
      </c>
      <c r="AP155" t="s">
        <v>51</v>
      </c>
    </row>
    <row r="156" spans="1:42" x14ac:dyDescent="0.3">
      <c r="A156" t="s">
        <v>38</v>
      </c>
      <c r="B156">
        <v>10</v>
      </c>
      <c r="C156">
        <v>21</v>
      </c>
      <c r="D156">
        <v>38</v>
      </c>
      <c r="E156">
        <v>53</v>
      </c>
      <c r="F156">
        <v>4</v>
      </c>
      <c r="G156">
        <v>427</v>
      </c>
      <c r="H156">
        <v>132</v>
      </c>
      <c r="I156">
        <v>16</v>
      </c>
      <c r="J156">
        <v>10</v>
      </c>
      <c r="K156">
        <v>2</v>
      </c>
      <c r="L156">
        <v>1</v>
      </c>
      <c r="M156">
        <v>30</v>
      </c>
      <c r="N156">
        <v>8</v>
      </c>
      <c r="O156">
        <v>2</v>
      </c>
      <c r="P156">
        <v>86</v>
      </c>
      <c r="Q156">
        <v>10</v>
      </c>
      <c r="R156">
        <v>53</v>
      </c>
      <c r="S156">
        <v>106</v>
      </c>
      <c r="T156">
        <v>146</v>
      </c>
      <c r="U156">
        <v>616</v>
      </c>
      <c r="V156">
        <v>723</v>
      </c>
      <c r="W156">
        <v>4</v>
      </c>
      <c r="X156">
        <v>1048</v>
      </c>
      <c r="Y156">
        <v>588</v>
      </c>
      <c r="Z156">
        <v>2</v>
      </c>
      <c r="AA156">
        <v>4</v>
      </c>
      <c r="AB156">
        <v>3</v>
      </c>
      <c r="AC156">
        <v>15267</v>
      </c>
      <c r="AD156">
        <v>22</v>
      </c>
      <c r="AE156">
        <v>2181</v>
      </c>
      <c r="AF156">
        <v>2431</v>
      </c>
      <c r="AG156">
        <v>853</v>
      </c>
      <c r="AH156">
        <v>160</v>
      </c>
      <c r="AI156">
        <v>22985</v>
      </c>
      <c r="AJ156">
        <v>31</v>
      </c>
      <c r="AK156">
        <v>6</v>
      </c>
      <c r="AL156">
        <v>413</v>
      </c>
      <c r="AM156">
        <v>1</v>
      </c>
      <c r="AN156">
        <v>24</v>
      </c>
      <c r="AO156">
        <v>24</v>
      </c>
      <c r="AP156" t="s">
        <v>51</v>
      </c>
    </row>
    <row r="157" spans="1:42" x14ac:dyDescent="0.3">
      <c r="A157" t="s">
        <v>29</v>
      </c>
      <c r="B157">
        <v>10</v>
      </c>
      <c r="C157">
        <v>20</v>
      </c>
      <c r="D157">
        <v>41</v>
      </c>
      <c r="E157">
        <v>69</v>
      </c>
      <c r="F157">
        <v>7</v>
      </c>
      <c r="G157">
        <v>491</v>
      </c>
      <c r="H157">
        <v>138</v>
      </c>
      <c r="I157">
        <v>10</v>
      </c>
      <c r="J157">
        <v>7</v>
      </c>
      <c r="K157">
        <v>6</v>
      </c>
      <c r="L157">
        <v>1</v>
      </c>
      <c r="M157">
        <v>37</v>
      </c>
      <c r="N157">
        <v>4</v>
      </c>
      <c r="O157">
        <v>4</v>
      </c>
      <c r="P157">
        <v>70</v>
      </c>
      <c r="Q157">
        <v>11</v>
      </c>
      <c r="R157">
        <v>60</v>
      </c>
      <c r="S157">
        <v>160</v>
      </c>
      <c r="T157">
        <v>144</v>
      </c>
      <c r="U157">
        <v>414</v>
      </c>
      <c r="V157">
        <v>702</v>
      </c>
      <c r="W157">
        <v>2</v>
      </c>
      <c r="X157">
        <v>903</v>
      </c>
      <c r="Y157">
        <v>510</v>
      </c>
      <c r="Z157">
        <v>6</v>
      </c>
      <c r="AA157">
        <v>2</v>
      </c>
      <c r="AB157">
        <v>2</v>
      </c>
      <c r="AC157">
        <v>14457</v>
      </c>
      <c r="AD157">
        <v>41</v>
      </c>
      <c r="AE157">
        <v>2092</v>
      </c>
      <c r="AF157">
        <v>2254</v>
      </c>
      <c r="AG157">
        <v>749</v>
      </c>
      <c r="AH157">
        <v>188</v>
      </c>
      <c r="AI157">
        <v>21922</v>
      </c>
      <c r="AJ157">
        <v>29</v>
      </c>
      <c r="AK157">
        <v>3</v>
      </c>
      <c r="AL157">
        <v>411</v>
      </c>
      <c r="AM157">
        <v>0</v>
      </c>
      <c r="AN157">
        <v>71</v>
      </c>
      <c r="AO157">
        <v>20</v>
      </c>
      <c r="AP157" t="s">
        <v>51</v>
      </c>
    </row>
    <row r="158" spans="1:42" x14ac:dyDescent="0.3">
      <c r="A158" t="s">
        <v>23</v>
      </c>
      <c r="B158">
        <v>9</v>
      </c>
      <c r="C158">
        <v>24</v>
      </c>
      <c r="D158">
        <v>40</v>
      </c>
      <c r="E158">
        <v>58</v>
      </c>
      <c r="F158">
        <v>1</v>
      </c>
      <c r="G158">
        <v>431</v>
      </c>
      <c r="H158">
        <v>149</v>
      </c>
      <c r="I158">
        <v>11</v>
      </c>
      <c r="J158">
        <v>7</v>
      </c>
      <c r="K158">
        <v>2</v>
      </c>
      <c r="L158">
        <v>1</v>
      </c>
      <c r="M158">
        <v>31</v>
      </c>
      <c r="N158">
        <v>9</v>
      </c>
      <c r="O158">
        <v>1</v>
      </c>
      <c r="P158">
        <v>86</v>
      </c>
      <c r="Q158">
        <v>5</v>
      </c>
      <c r="R158">
        <v>85</v>
      </c>
      <c r="S158">
        <v>154</v>
      </c>
      <c r="T158">
        <v>182</v>
      </c>
      <c r="U158">
        <v>499</v>
      </c>
      <c r="V158">
        <v>702</v>
      </c>
      <c r="W158">
        <v>4</v>
      </c>
      <c r="X158">
        <v>1351</v>
      </c>
      <c r="Y158">
        <v>779</v>
      </c>
      <c r="Z158">
        <v>5</v>
      </c>
      <c r="AA158">
        <v>4</v>
      </c>
      <c r="AB158">
        <v>4</v>
      </c>
      <c r="AC158">
        <v>14674</v>
      </c>
      <c r="AD158">
        <v>32</v>
      </c>
      <c r="AE158">
        <v>2180</v>
      </c>
      <c r="AF158">
        <v>2329</v>
      </c>
      <c r="AG158">
        <v>708</v>
      </c>
      <c r="AH158">
        <v>194</v>
      </c>
      <c r="AI158">
        <v>22771</v>
      </c>
      <c r="AJ158">
        <v>45</v>
      </c>
      <c r="AK158">
        <v>12</v>
      </c>
      <c r="AL158">
        <v>483</v>
      </c>
      <c r="AM158">
        <v>0</v>
      </c>
      <c r="AN158">
        <v>71</v>
      </c>
      <c r="AO158">
        <v>21</v>
      </c>
      <c r="AP158" t="s">
        <v>51</v>
      </c>
    </row>
    <row r="159" spans="1:42" x14ac:dyDescent="0.3">
      <c r="A159" t="s">
        <v>47</v>
      </c>
      <c r="B159">
        <v>8</v>
      </c>
      <c r="C159">
        <v>21</v>
      </c>
      <c r="D159">
        <v>28</v>
      </c>
      <c r="E159">
        <v>62</v>
      </c>
      <c r="F159">
        <v>2</v>
      </c>
      <c r="G159">
        <v>467</v>
      </c>
      <c r="H159">
        <v>148</v>
      </c>
      <c r="I159">
        <v>15</v>
      </c>
      <c r="J159">
        <v>7</v>
      </c>
      <c r="K159">
        <v>1</v>
      </c>
      <c r="L159">
        <v>1</v>
      </c>
      <c r="M159">
        <v>19</v>
      </c>
      <c r="N159">
        <v>9</v>
      </c>
      <c r="O159">
        <v>1</v>
      </c>
      <c r="P159">
        <v>48</v>
      </c>
      <c r="Q159">
        <v>12</v>
      </c>
      <c r="R159">
        <v>62</v>
      </c>
      <c r="S159">
        <v>125</v>
      </c>
      <c r="T159">
        <v>154</v>
      </c>
      <c r="U159">
        <v>529</v>
      </c>
      <c r="V159">
        <v>675</v>
      </c>
      <c r="W159">
        <v>4</v>
      </c>
      <c r="X159">
        <v>1071</v>
      </c>
      <c r="Y159">
        <v>472</v>
      </c>
      <c r="Z159">
        <v>3</v>
      </c>
      <c r="AA159">
        <v>4</v>
      </c>
      <c r="AB159">
        <v>4</v>
      </c>
      <c r="AC159">
        <v>14747</v>
      </c>
      <c r="AD159">
        <v>58</v>
      </c>
      <c r="AE159">
        <v>2105</v>
      </c>
      <c r="AF159">
        <v>2264</v>
      </c>
      <c r="AG159">
        <v>818</v>
      </c>
      <c r="AH159">
        <v>197</v>
      </c>
      <c r="AI159">
        <v>22570</v>
      </c>
      <c r="AJ159">
        <v>37</v>
      </c>
      <c r="AK159">
        <v>10</v>
      </c>
      <c r="AL159">
        <v>489</v>
      </c>
      <c r="AM159">
        <v>0</v>
      </c>
      <c r="AN159">
        <v>72</v>
      </c>
      <c r="AO159">
        <v>11</v>
      </c>
      <c r="AP159" t="s">
        <v>51</v>
      </c>
    </row>
    <row r="160" spans="1:42" x14ac:dyDescent="0.3">
      <c r="A160" t="s">
        <v>52</v>
      </c>
      <c r="B160">
        <v>7</v>
      </c>
      <c r="C160">
        <v>22</v>
      </c>
      <c r="D160">
        <v>32</v>
      </c>
      <c r="E160">
        <v>49</v>
      </c>
      <c r="F160">
        <v>1</v>
      </c>
      <c r="G160">
        <v>418</v>
      </c>
      <c r="H160">
        <v>124</v>
      </c>
      <c r="I160">
        <v>10</v>
      </c>
      <c r="J160">
        <v>9</v>
      </c>
      <c r="K160">
        <v>1</v>
      </c>
      <c r="L160">
        <v>0</v>
      </c>
      <c r="M160">
        <v>28</v>
      </c>
      <c r="N160">
        <v>4</v>
      </c>
      <c r="O160">
        <v>0</v>
      </c>
      <c r="P160">
        <v>81</v>
      </c>
      <c r="Q160">
        <v>7</v>
      </c>
      <c r="R160">
        <v>74</v>
      </c>
      <c r="S160">
        <v>157</v>
      </c>
      <c r="T160">
        <v>178</v>
      </c>
      <c r="U160">
        <v>491</v>
      </c>
      <c r="V160">
        <v>619</v>
      </c>
      <c r="W160">
        <v>4</v>
      </c>
      <c r="X160">
        <v>1268</v>
      </c>
      <c r="Y160">
        <v>702</v>
      </c>
      <c r="Z160">
        <v>0</v>
      </c>
      <c r="AA160">
        <v>2</v>
      </c>
      <c r="AB160">
        <v>2</v>
      </c>
      <c r="AC160">
        <v>14007</v>
      </c>
      <c r="AD160">
        <v>35</v>
      </c>
      <c r="AE160">
        <v>2047</v>
      </c>
      <c r="AF160">
        <v>2195</v>
      </c>
      <c r="AG160">
        <v>792</v>
      </c>
      <c r="AH160">
        <v>196</v>
      </c>
      <c r="AI160">
        <v>22018</v>
      </c>
      <c r="AJ160">
        <v>30</v>
      </c>
      <c r="AK160">
        <v>5</v>
      </c>
      <c r="AL160">
        <v>490</v>
      </c>
      <c r="AM160">
        <v>0</v>
      </c>
      <c r="AN160">
        <v>59</v>
      </c>
      <c r="AO160">
        <v>13</v>
      </c>
      <c r="AP160" t="s">
        <v>51</v>
      </c>
    </row>
    <row r="161" spans="1:42" x14ac:dyDescent="0.3">
      <c r="A161" t="s">
        <v>35</v>
      </c>
      <c r="B161">
        <v>7</v>
      </c>
      <c r="C161">
        <v>16</v>
      </c>
      <c r="D161">
        <v>43</v>
      </c>
      <c r="E161">
        <v>67</v>
      </c>
      <c r="F161">
        <v>0</v>
      </c>
      <c r="G161">
        <v>487</v>
      </c>
      <c r="H161">
        <v>146</v>
      </c>
      <c r="I161">
        <v>6</v>
      </c>
      <c r="J161">
        <v>6</v>
      </c>
      <c r="K161">
        <v>2</v>
      </c>
      <c r="L161">
        <v>0</v>
      </c>
      <c r="M161">
        <v>35</v>
      </c>
      <c r="N161">
        <v>8</v>
      </c>
      <c r="O161">
        <v>1</v>
      </c>
      <c r="P161">
        <v>91</v>
      </c>
      <c r="Q161">
        <v>7</v>
      </c>
      <c r="R161">
        <v>59</v>
      </c>
      <c r="S161">
        <v>114</v>
      </c>
      <c r="T161">
        <v>125</v>
      </c>
      <c r="U161">
        <v>595</v>
      </c>
      <c r="V161">
        <v>701</v>
      </c>
      <c r="W161">
        <v>1</v>
      </c>
      <c r="X161">
        <v>1176</v>
      </c>
      <c r="Y161">
        <v>712</v>
      </c>
      <c r="Z161">
        <v>2</v>
      </c>
      <c r="AA161">
        <v>7</v>
      </c>
      <c r="AB161">
        <v>5</v>
      </c>
      <c r="AC161">
        <v>14704</v>
      </c>
      <c r="AD161">
        <v>41</v>
      </c>
      <c r="AE161">
        <v>1942</v>
      </c>
      <c r="AF161">
        <v>2036</v>
      </c>
      <c r="AG161">
        <v>834</v>
      </c>
      <c r="AH161">
        <v>187</v>
      </c>
      <c r="AI161">
        <v>22866</v>
      </c>
      <c r="AJ161">
        <v>35</v>
      </c>
      <c r="AK161">
        <v>0</v>
      </c>
      <c r="AL161">
        <v>514</v>
      </c>
      <c r="AM161">
        <v>2</v>
      </c>
      <c r="AN161">
        <v>65</v>
      </c>
      <c r="AO161">
        <v>14</v>
      </c>
      <c r="AP161" t="s">
        <v>51</v>
      </c>
    </row>
    <row r="162" spans="1:42" x14ac:dyDescent="0.3">
      <c r="A162" t="s">
        <v>25</v>
      </c>
      <c r="B162">
        <v>26</v>
      </c>
      <c r="C162">
        <v>3</v>
      </c>
      <c r="D162">
        <v>73</v>
      </c>
      <c r="E162">
        <v>73</v>
      </c>
      <c r="F162">
        <v>4</v>
      </c>
      <c r="G162">
        <v>564</v>
      </c>
      <c r="H162">
        <v>210</v>
      </c>
      <c r="I162">
        <v>15</v>
      </c>
      <c r="J162">
        <v>10</v>
      </c>
      <c r="K162">
        <v>4</v>
      </c>
      <c r="L162">
        <v>1</v>
      </c>
      <c r="M162">
        <v>66</v>
      </c>
      <c r="N162">
        <v>7</v>
      </c>
      <c r="O162">
        <v>1</v>
      </c>
      <c r="P162">
        <v>75</v>
      </c>
      <c r="Q162">
        <v>17</v>
      </c>
      <c r="R162">
        <v>32</v>
      </c>
      <c r="S162">
        <v>90</v>
      </c>
      <c r="T162">
        <v>102</v>
      </c>
      <c r="U162">
        <v>376</v>
      </c>
      <c r="V162">
        <v>759</v>
      </c>
      <c r="W162">
        <v>2</v>
      </c>
      <c r="X162">
        <v>1027</v>
      </c>
      <c r="Y162">
        <v>611</v>
      </c>
      <c r="Z162">
        <v>1</v>
      </c>
      <c r="AA162">
        <v>3</v>
      </c>
      <c r="AB162">
        <v>3</v>
      </c>
      <c r="AC162">
        <v>20268</v>
      </c>
      <c r="AD162">
        <v>73</v>
      </c>
      <c r="AE162">
        <v>2276</v>
      </c>
      <c r="AF162">
        <v>3259</v>
      </c>
      <c r="AG162">
        <v>682</v>
      </c>
      <c r="AH162">
        <v>226</v>
      </c>
      <c r="AI162">
        <v>27861</v>
      </c>
      <c r="AJ162">
        <v>40</v>
      </c>
      <c r="AK162">
        <v>2</v>
      </c>
      <c r="AL162">
        <v>476</v>
      </c>
      <c r="AM162">
        <v>0</v>
      </c>
      <c r="AN162">
        <v>73</v>
      </c>
      <c r="AO162">
        <v>13</v>
      </c>
      <c r="AP162" t="s">
        <v>54</v>
      </c>
    </row>
    <row r="163" spans="1:42" x14ac:dyDescent="0.3">
      <c r="A163" t="s">
        <v>26</v>
      </c>
      <c r="B163">
        <v>24</v>
      </c>
      <c r="C163">
        <v>7</v>
      </c>
      <c r="D163">
        <v>83</v>
      </c>
      <c r="E163">
        <v>77</v>
      </c>
      <c r="F163">
        <v>2</v>
      </c>
      <c r="G163">
        <v>670</v>
      </c>
      <c r="H163">
        <v>229</v>
      </c>
      <c r="I163">
        <v>18</v>
      </c>
      <c r="J163">
        <v>5</v>
      </c>
      <c r="K163">
        <v>7</v>
      </c>
      <c r="L163">
        <v>3</v>
      </c>
      <c r="M163">
        <v>68</v>
      </c>
      <c r="N163">
        <v>15</v>
      </c>
      <c r="O163">
        <v>9</v>
      </c>
      <c r="P163">
        <v>78</v>
      </c>
      <c r="Q163">
        <v>14</v>
      </c>
      <c r="R163">
        <v>38</v>
      </c>
      <c r="S163">
        <v>93</v>
      </c>
      <c r="T163">
        <v>98</v>
      </c>
      <c r="U163">
        <v>569</v>
      </c>
      <c r="V163">
        <v>751</v>
      </c>
      <c r="W163">
        <v>1</v>
      </c>
      <c r="X163">
        <v>872</v>
      </c>
      <c r="Y163">
        <v>498</v>
      </c>
      <c r="Z163">
        <v>3</v>
      </c>
      <c r="AA163">
        <v>4</v>
      </c>
      <c r="AB163">
        <v>3</v>
      </c>
      <c r="AC163">
        <v>22107</v>
      </c>
      <c r="AD163">
        <v>115</v>
      </c>
      <c r="AE163">
        <v>1937</v>
      </c>
      <c r="AF163">
        <v>3140</v>
      </c>
      <c r="AG163">
        <v>795</v>
      </c>
      <c r="AH163">
        <v>277</v>
      </c>
      <c r="AI163">
        <v>29652</v>
      </c>
      <c r="AJ163">
        <v>42</v>
      </c>
      <c r="AK163">
        <v>1</v>
      </c>
      <c r="AL163">
        <v>546</v>
      </c>
      <c r="AM163">
        <v>1</v>
      </c>
      <c r="AN163">
        <v>52</v>
      </c>
      <c r="AO163">
        <v>31</v>
      </c>
      <c r="AP163" t="s">
        <v>54</v>
      </c>
    </row>
    <row r="164" spans="1:42" x14ac:dyDescent="0.3">
      <c r="A164" t="s">
        <v>5</v>
      </c>
      <c r="B164">
        <v>22</v>
      </c>
      <c r="C164">
        <v>7</v>
      </c>
      <c r="D164">
        <v>71</v>
      </c>
      <c r="E164">
        <v>68</v>
      </c>
      <c r="F164">
        <v>2</v>
      </c>
      <c r="G164">
        <v>610</v>
      </c>
      <c r="H164">
        <v>227</v>
      </c>
      <c r="I164">
        <v>13</v>
      </c>
      <c r="J164">
        <v>10</v>
      </c>
      <c r="K164">
        <v>6</v>
      </c>
      <c r="L164">
        <v>3</v>
      </c>
      <c r="M164">
        <v>62</v>
      </c>
      <c r="N164">
        <v>9</v>
      </c>
      <c r="O164">
        <v>2</v>
      </c>
      <c r="P164">
        <v>64</v>
      </c>
      <c r="Q164">
        <v>13</v>
      </c>
      <c r="R164">
        <v>36</v>
      </c>
      <c r="S164">
        <v>96</v>
      </c>
      <c r="T164">
        <v>106</v>
      </c>
      <c r="U164">
        <v>762</v>
      </c>
      <c r="V164">
        <v>739</v>
      </c>
      <c r="W164">
        <v>3</v>
      </c>
      <c r="X164">
        <v>1006</v>
      </c>
      <c r="Y164">
        <v>565</v>
      </c>
      <c r="Z164">
        <v>1</v>
      </c>
      <c r="AA164">
        <v>3</v>
      </c>
      <c r="AB164">
        <v>3</v>
      </c>
      <c r="AC164">
        <v>20527</v>
      </c>
      <c r="AD164">
        <v>202</v>
      </c>
      <c r="AE164">
        <v>1749</v>
      </c>
      <c r="AF164">
        <v>2793</v>
      </c>
      <c r="AG164">
        <v>866</v>
      </c>
      <c r="AH164">
        <v>254</v>
      </c>
      <c r="AI164">
        <v>29045</v>
      </c>
      <c r="AJ164">
        <v>51</v>
      </c>
      <c r="AK164">
        <v>2</v>
      </c>
      <c r="AL164">
        <v>476</v>
      </c>
      <c r="AM164">
        <v>0</v>
      </c>
      <c r="AN164">
        <v>76</v>
      </c>
      <c r="AO164">
        <v>13</v>
      </c>
      <c r="AP164" t="s">
        <v>54</v>
      </c>
    </row>
    <row r="165" spans="1:42" x14ac:dyDescent="0.3">
      <c r="A165" t="s">
        <v>22</v>
      </c>
      <c r="B165">
        <v>20</v>
      </c>
      <c r="C165">
        <v>8</v>
      </c>
      <c r="D165">
        <v>62</v>
      </c>
      <c r="E165">
        <v>64</v>
      </c>
      <c r="F165">
        <v>5</v>
      </c>
      <c r="G165">
        <v>512</v>
      </c>
      <c r="H165">
        <v>180</v>
      </c>
      <c r="I165">
        <v>11</v>
      </c>
      <c r="J165">
        <v>12</v>
      </c>
      <c r="K165">
        <v>3</v>
      </c>
      <c r="L165">
        <v>2</v>
      </c>
      <c r="M165">
        <v>55</v>
      </c>
      <c r="N165">
        <v>7</v>
      </c>
      <c r="O165">
        <v>2</v>
      </c>
      <c r="P165">
        <v>87</v>
      </c>
      <c r="Q165">
        <v>11</v>
      </c>
      <c r="R165">
        <v>37</v>
      </c>
      <c r="S165">
        <v>100</v>
      </c>
      <c r="T165">
        <v>96</v>
      </c>
      <c r="U165">
        <v>679</v>
      </c>
      <c r="V165">
        <v>739</v>
      </c>
      <c r="W165">
        <v>4</v>
      </c>
      <c r="X165">
        <v>1118</v>
      </c>
      <c r="Y165">
        <v>638</v>
      </c>
      <c r="Z165">
        <v>1</v>
      </c>
      <c r="AA165">
        <v>4</v>
      </c>
      <c r="AB165">
        <v>3</v>
      </c>
      <c r="AC165">
        <v>21311</v>
      </c>
      <c r="AD165">
        <v>89</v>
      </c>
      <c r="AE165">
        <v>2969</v>
      </c>
      <c r="AF165">
        <v>3457</v>
      </c>
      <c r="AG165">
        <v>908</v>
      </c>
      <c r="AH165">
        <v>214</v>
      </c>
      <c r="AI165">
        <v>29044</v>
      </c>
      <c r="AJ165">
        <v>43</v>
      </c>
      <c r="AK165">
        <v>5</v>
      </c>
      <c r="AL165">
        <v>393</v>
      </c>
      <c r="AM165">
        <v>1</v>
      </c>
      <c r="AN165">
        <v>33</v>
      </c>
      <c r="AO165">
        <v>7</v>
      </c>
      <c r="AP165" t="s">
        <v>54</v>
      </c>
    </row>
    <row r="166" spans="1:42" x14ac:dyDescent="0.3">
      <c r="A166" t="s">
        <v>21</v>
      </c>
      <c r="B166">
        <v>19</v>
      </c>
      <c r="C166">
        <v>12</v>
      </c>
      <c r="D166">
        <v>58</v>
      </c>
      <c r="E166">
        <v>79</v>
      </c>
      <c r="F166">
        <v>4</v>
      </c>
      <c r="G166">
        <v>527</v>
      </c>
      <c r="H166">
        <v>171</v>
      </c>
      <c r="I166">
        <v>11</v>
      </c>
      <c r="J166">
        <v>8</v>
      </c>
      <c r="K166">
        <v>3</v>
      </c>
      <c r="L166">
        <v>4</v>
      </c>
      <c r="M166">
        <v>47</v>
      </c>
      <c r="N166">
        <v>11</v>
      </c>
      <c r="O166">
        <v>2</v>
      </c>
      <c r="P166">
        <v>77</v>
      </c>
      <c r="Q166">
        <v>9</v>
      </c>
      <c r="R166">
        <v>53</v>
      </c>
      <c r="S166">
        <v>119</v>
      </c>
      <c r="T166">
        <v>117</v>
      </c>
      <c r="U166">
        <v>674</v>
      </c>
      <c r="V166">
        <v>815</v>
      </c>
      <c r="W166">
        <v>6</v>
      </c>
      <c r="X166">
        <v>1047</v>
      </c>
      <c r="Y166">
        <v>636</v>
      </c>
      <c r="Z166">
        <v>2</v>
      </c>
      <c r="AA166">
        <v>7</v>
      </c>
      <c r="AB166">
        <v>5</v>
      </c>
      <c r="AC166">
        <v>19322</v>
      </c>
      <c r="AD166">
        <v>69</v>
      </c>
      <c r="AE166">
        <v>2357</v>
      </c>
      <c r="AF166">
        <v>2604</v>
      </c>
      <c r="AG166">
        <v>742</v>
      </c>
      <c r="AH166">
        <v>224</v>
      </c>
      <c r="AI166">
        <v>27495</v>
      </c>
      <c r="AJ166">
        <v>39</v>
      </c>
      <c r="AK166">
        <v>1</v>
      </c>
      <c r="AL166">
        <v>552</v>
      </c>
      <c r="AM166">
        <v>1</v>
      </c>
      <c r="AN166">
        <v>51</v>
      </c>
      <c r="AO166">
        <v>28</v>
      </c>
      <c r="AP166" t="s">
        <v>54</v>
      </c>
    </row>
    <row r="167" spans="1:42" x14ac:dyDescent="0.3">
      <c r="A167" t="s">
        <v>2</v>
      </c>
      <c r="B167">
        <v>18</v>
      </c>
      <c r="C167">
        <v>12</v>
      </c>
      <c r="D167">
        <v>52</v>
      </c>
      <c r="E167">
        <v>66</v>
      </c>
      <c r="F167">
        <v>3</v>
      </c>
      <c r="G167">
        <v>590</v>
      </c>
      <c r="H167">
        <v>192</v>
      </c>
      <c r="I167">
        <v>12</v>
      </c>
      <c r="J167">
        <v>5</v>
      </c>
      <c r="K167">
        <v>5</v>
      </c>
      <c r="L167">
        <v>1</v>
      </c>
      <c r="M167">
        <v>44</v>
      </c>
      <c r="N167">
        <v>8</v>
      </c>
      <c r="O167">
        <v>2</v>
      </c>
      <c r="P167">
        <v>75</v>
      </c>
      <c r="Q167">
        <v>14</v>
      </c>
      <c r="R167">
        <v>48</v>
      </c>
      <c r="S167">
        <v>93</v>
      </c>
      <c r="T167">
        <v>105</v>
      </c>
      <c r="U167">
        <v>442</v>
      </c>
      <c r="V167">
        <v>798</v>
      </c>
      <c r="W167">
        <v>9</v>
      </c>
      <c r="X167">
        <v>1175</v>
      </c>
      <c r="Y167">
        <v>628</v>
      </c>
      <c r="Z167">
        <v>2</v>
      </c>
      <c r="AA167">
        <v>3</v>
      </c>
      <c r="AB167">
        <v>1</v>
      </c>
      <c r="AC167">
        <v>19374</v>
      </c>
      <c r="AD167">
        <v>103</v>
      </c>
      <c r="AE167">
        <v>2151</v>
      </c>
      <c r="AF167">
        <v>2787</v>
      </c>
      <c r="AG167">
        <v>638</v>
      </c>
      <c r="AH167">
        <v>198</v>
      </c>
      <c r="AI167">
        <v>27353</v>
      </c>
      <c r="AJ167">
        <v>34</v>
      </c>
      <c r="AK167">
        <v>3</v>
      </c>
      <c r="AL167">
        <v>468</v>
      </c>
      <c r="AM167">
        <v>2</v>
      </c>
      <c r="AN167">
        <v>38</v>
      </c>
      <c r="AO167">
        <v>41</v>
      </c>
      <c r="AP167" t="s">
        <v>54</v>
      </c>
    </row>
    <row r="168" spans="1:42" x14ac:dyDescent="0.3">
      <c r="A168" t="s">
        <v>50</v>
      </c>
      <c r="B168">
        <v>18</v>
      </c>
      <c r="C168">
        <v>14</v>
      </c>
      <c r="D168">
        <v>54</v>
      </c>
      <c r="E168">
        <v>57</v>
      </c>
      <c r="F168">
        <v>3</v>
      </c>
      <c r="G168">
        <v>509</v>
      </c>
      <c r="H168">
        <v>169</v>
      </c>
      <c r="I168">
        <v>17</v>
      </c>
      <c r="J168">
        <v>3</v>
      </c>
      <c r="K168">
        <v>2</v>
      </c>
      <c r="L168">
        <v>0</v>
      </c>
      <c r="M168">
        <v>50</v>
      </c>
      <c r="N168">
        <v>4</v>
      </c>
      <c r="O168">
        <v>0</v>
      </c>
      <c r="P168">
        <v>93</v>
      </c>
      <c r="Q168">
        <v>15</v>
      </c>
      <c r="R168">
        <v>33</v>
      </c>
      <c r="S168">
        <v>80</v>
      </c>
      <c r="T168">
        <v>94</v>
      </c>
      <c r="U168">
        <v>619</v>
      </c>
      <c r="V168">
        <v>813</v>
      </c>
      <c r="W168">
        <v>5</v>
      </c>
      <c r="X168">
        <v>875</v>
      </c>
      <c r="Y168">
        <v>400</v>
      </c>
      <c r="Z168">
        <v>0</v>
      </c>
      <c r="AA168">
        <v>2</v>
      </c>
      <c r="AB168">
        <v>2</v>
      </c>
      <c r="AC168">
        <v>18184</v>
      </c>
      <c r="AD168">
        <v>38</v>
      </c>
      <c r="AE168">
        <v>2729</v>
      </c>
      <c r="AF168">
        <v>2850</v>
      </c>
      <c r="AG168">
        <v>952</v>
      </c>
      <c r="AH168">
        <v>208</v>
      </c>
      <c r="AI168">
        <v>25815</v>
      </c>
      <c r="AJ168">
        <v>44</v>
      </c>
      <c r="AK168">
        <v>4</v>
      </c>
      <c r="AL168">
        <v>422</v>
      </c>
      <c r="AM168">
        <v>0</v>
      </c>
      <c r="AN168">
        <v>50</v>
      </c>
      <c r="AO168">
        <v>15</v>
      </c>
      <c r="AP168" t="s">
        <v>54</v>
      </c>
    </row>
    <row r="169" spans="1:42" x14ac:dyDescent="0.3">
      <c r="A169" t="s">
        <v>48</v>
      </c>
      <c r="B169">
        <v>16</v>
      </c>
      <c r="C169">
        <v>14</v>
      </c>
      <c r="D169">
        <v>46</v>
      </c>
      <c r="E169">
        <v>48</v>
      </c>
      <c r="F169">
        <v>5</v>
      </c>
      <c r="G169">
        <v>426</v>
      </c>
      <c r="H169">
        <v>147</v>
      </c>
      <c r="I169">
        <v>12</v>
      </c>
      <c r="J169">
        <v>5</v>
      </c>
      <c r="K169">
        <v>2</v>
      </c>
      <c r="L169">
        <v>2</v>
      </c>
      <c r="M169">
        <v>38</v>
      </c>
      <c r="N169">
        <v>8</v>
      </c>
      <c r="O169">
        <v>1</v>
      </c>
      <c r="P169">
        <v>80</v>
      </c>
      <c r="Q169">
        <v>13</v>
      </c>
      <c r="R169">
        <v>49</v>
      </c>
      <c r="S169">
        <v>141</v>
      </c>
      <c r="T169">
        <v>146</v>
      </c>
      <c r="U169">
        <v>693</v>
      </c>
      <c r="V169">
        <v>634</v>
      </c>
      <c r="W169">
        <v>0</v>
      </c>
      <c r="X169">
        <v>1203</v>
      </c>
      <c r="Y169">
        <v>646</v>
      </c>
      <c r="Z169">
        <v>1</v>
      </c>
      <c r="AA169">
        <v>2</v>
      </c>
      <c r="AB169">
        <v>2</v>
      </c>
      <c r="AC169">
        <v>17877</v>
      </c>
      <c r="AD169">
        <v>56</v>
      </c>
      <c r="AE169">
        <v>2291</v>
      </c>
      <c r="AF169">
        <v>2918</v>
      </c>
      <c r="AG169">
        <v>634</v>
      </c>
      <c r="AH169">
        <v>151</v>
      </c>
      <c r="AI169">
        <v>25645</v>
      </c>
      <c r="AJ169">
        <v>35</v>
      </c>
      <c r="AK169">
        <v>3</v>
      </c>
      <c r="AL169">
        <v>363</v>
      </c>
      <c r="AM169">
        <v>0</v>
      </c>
      <c r="AN169">
        <v>91</v>
      </c>
      <c r="AO169">
        <v>31</v>
      </c>
      <c r="AP169" t="s">
        <v>54</v>
      </c>
    </row>
    <row r="170" spans="1:42" x14ac:dyDescent="0.3">
      <c r="A170" t="s">
        <v>37</v>
      </c>
      <c r="B170">
        <v>15</v>
      </c>
      <c r="C170">
        <v>14</v>
      </c>
      <c r="D170">
        <v>48</v>
      </c>
      <c r="E170">
        <v>82</v>
      </c>
      <c r="F170">
        <v>1</v>
      </c>
      <c r="G170">
        <v>500</v>
      </c>
      <c r="H170">
        <v>136</v>
      </c>
      <c r="I170">
        <v>9</v>
      </c>
      <c r="J170">
        <v>14</v>
      </c>
      <c r="K170">
        <v>3</v>
      </c>
      <c r="L170">
        <v>0</v>
      </c>
      <c r="M170">
        <v>41</v>
      </c>
      <c r="N170">
        <v>7</v>
      </c>
      <c r="O170">
        <v>1</v>
      </c>
      <c r="P170">
        <v>75</v>
      </c>
      <c r="Q170">
        <v>9</v>
      </c>
      <c r="R170">
        <v>45</v>
      </c>
      <c r="S170">
        <v>96</v>
      </c>
      <c r="T170">
        <v>134</v>
      </c>
      <c r="U170">
        <v>496</v>
      </c>
      <c r="V170">
        <v>729</v>
      </c>
      <c r="W170">
        <v>8</v>
      </c>
      <c r="X170">
        <v>1159</v>
      </c>
      <c r="Y170">
        <v>694</v>
      </c>
      <c r="Z170">
        <v>0</v>
      </c>
      <c r="AA170">
        <v>5</v>
      </c>
      <c r="AB170">
        <v>5</v>
      </c>
      <c r="AC170">
        <v>15386</v>
      </c>
      <c r="AD170">
        <v>12</v>
      </c>
      <c r="AE170">
        <v>2429</v>
      </c>
      <c r="AF170">
        <v>2317</v>
      </c>
      <c r="AG170">
        <v>887</v>
      </c>
      <c r="AH170">
        <v>195</v>
      </c>
      <c r="AI170">
        <v>23427</v>
      </c>
      <c r="AJ170">
        <v>32</v>
      </c>
      <c r="AK170">
        <v>3</v>
      </c>
      <c r="AL170">
        <v>428</v>
      </c>
      <c r="AM170">
        <v>0</v>
      </c>
      <c r="AN170">
        <v>68</v>
      </c>
      <c r="AO170">
        <v>12</v>
      </c>
      <c r="AP170" t="s">
        <v>54</v>
      </c>
    </row>
    <row r="171" spans="1:42" x14ac:dyDescent="0.3">
      <c r="A171" t="s">
        <v>53</v>
      </c>
      <c r="B171">
        <v>13</v>
      </c>
      <c r="C171">
        <v>16</v>
      </c>
      <c r="D171">
        <v>47</v>
      </c>
      <c r="E171">
        <v>63</v>
      </c>
      <c r="F171">
        <v>4</v>
      </c>
      <c r="G171">
        <v>441</v>
      </c>
      <c r="H171">
        <v>139</v>
      </c>
      <c r="I171">
        <v>14</v>
      </c>
      <c r="J171">
        <v>10</v>
      </c>
      <c r="K171">
        <v>5</v>
      </c>
      <c r="L171">
        <v>4</v>
      </c>
      <c r="M171">
        <v>41</v>
      </c>
      <c r="N171">
        <v>6</v>
      </c>
      <c r="O171">
        <v>0</v>
      </c>
      <c r="P171">
        <v>77</v>
      </c>
      <c r="Q171">
        <v>7</v>
      </c>
      <c r="R171">
        <v>51</v>
      </c>
      <c r="S171">
        <v>94</v>
      </c>
      <c r="T171">
        <v>154</v>
      </c>
      <c r="U171">
        <v>600</v>
      </c>
      <c r="V171">
        <v>791</v>
      </c>
      <c r="W171">
        <v>2</v>
      </c>
      <c r="X171">
        <v>1270</v>
      </c>
      <c r="Y171">
        <v>779</v>
      </c>
      <c r="Z171">
        <v>0</v>
      </c>
      <c r="AA171">
        <v>6</v>
      </c>
      <c r="AB171">
        <v>4</v>
      </c>
      <c r="AC171">
        <v>12071</v>
      </c>
      <c r="AD171">
        <v>22</v>
      </c>
      <c r="AE171">
        <v>2609</v>
      </c>
      <c r="AF171">
        <v>1732</v>
      </c>
      <c r="AG171">
        <v>834</v>
      </c>
      <c r="AH171">
        <v>209</v>
      </c>
      <c r="AI171">
        <v>20386</v>
      </c>
      <c r="AJ171">
        <v>25</v>
      </c>
      <c r="AK171">
        <v>7</v>
      </c>
      <c r="AL171">
        <v>325</v>
      </c>
      <c r="AM171">
        <v>2</v>
      </c>
      <c r="AN171">
        <v>77</v>
      </c>
      <c r="AO171">
        <v>9</v>
      </c>
      <c r="AP171" t="s">
        <v>54</v>
      </c>
    </row>
    <row r="172" spans="1:42" x14ac:dyDescent="0.3">
      <c r="A172" t="s">
        <v>7</v>
      </c>
      <c r="B172">
        <v>12</v>
      </c>
      <c r="C172">
        <v>15</v>
      </c>
      <c r="D172">
        <v>48</v>
      </c>
      <c r="E172">
        <v>66</v>
      </c>
      <c r="F172">
        <v>2</v>
      </c>
      <c r="G172">
        <v>483</v>
      </c>
      <c r="H172">
        <v>166</v>
      </c>
      <c r="I172">
        <v>11</v>
      </c>
      <c r="J172">
        <v>10</v>
      </c>
      <c r="K172">
        <v>4</v>
      </c>
      <c r="L172">
        <v>1</v>
      </c>
      <c r="M172">
        <v>40</v>
      </c>
      <c r="N172">
        <v>8</v>
      </c>
      <c r="O172">
        <v>5</v>
      </c>
      <c r="P172">
        <v>83</v>
      </c>
      <c r="Q172">
        <v>10</v>
      </c>
      <c r="R172">
        <v>50</v>
      </c>
      <c r="S172">
        <v>80</v>
      </c>
      <c r="T172">
        <v>167</v>
      </c>
      <c r="U172">
        <v>444</v>
      </c>
      <c r="V172">
        <v>657</v>
      </c>
      <c r="W172">
        <v>8</v>
      </c>
      <c r="X172">
        <v>1280</v>
      </c>
      <c r="Y172">
        <v>737</v>
      </c>
      <c r="Z172">
        <v>2</v>
      </c>
      <c r="AA172">
        <v>4</v>
      </c>
      <c r="AB172">
        <v>4</v>
      </c>
      <c r="AC172">
        <v>18809</v>
      </c>
      <c r="AD172">
        <v>64</v>
      </c>
      <c r="AE172">
        <v>2563</v>
      </c>
      <c r="AF172">
        <v>2908</v>
      </c>
      <c r="AG172">
        <v>690</v>
      </c>
      <c r="AH172">
        <v>194</v>
      </c>
      <c r="AI172">
        <v>26729</v>
      </c>
      <c r="AJ172">
        <v>32</v>
      </c>
      <c r="AK172">
        <v>3</v>
      </c>
      <c r="AL172">
        <v>461</v>
      </c>
      <c r="AM172">
        <v>0</v>
      </c>
      <c r="AN172">
        <v>71</v>
      </c>
      <c r="AO172">
        <v>24</v>
      </c>
      <c r="AP172" t="s">
        <v>54</v>
      </c>
    </row>
    <row r="173" spans="1:42" x14ac:dyDescent="0.3">
      <c r="A173" t="s">
        <v>18</v>
      </c>
      <c r="B173">
        <v>12</v>
      </c>
      <c r="C173">
        <v>15</v>
      </c>
      <c r="D173">
        <v>44</v>
      </c>
      <c r="E173">
        <v>64</v>
      </c>
      <c r="F173">
        <v>2</v>
      </c>
      <c r="G173">
        <v>488</v>
      </c>
      <c r="H173">
        <v>152</v>
      </c>
      <c r="I173">
        <v>13</v>
      </c>
      <c r="J173">
        <v>15</v>
      </c>
      <c r="K173">
        <v>1</v>
      </c>
      <c r="L173">
        <v>1</v>
      </c>
      <c r="M173">
        <v>35</v>
      </c>
      <c r="N173">
        <v>9</v>
      </c>
      <c r="O173">
        <v>1</v>
      </c>
      <c r="P173">
        <v>91</v>
      </c>
      <c r="Q173">
        <v>9</v>
      </c>
      <c r="R173">
        <v>47</v>
      </c>
      <c r="S173">
        <v>133</v>
      </c>
      <c r="T173">
        <v>165</v>
      </c>
      <c r="U173">
        <v>505</v>
      </c>
      <c r="V173">
        <v>647</v>
      </c>
      <c r="W173">
        <v>7</v>
      </c>
      <c r="X173">
        <v>1474</v>
      </c>
      <c r="Y173">
        <v>835</v>
      </c>
      <c r="Z173">
        <v>2</v>
      </c>
      <c r="AA173">
        <v>5</v>
      </c>
      <c r="AB173">
        <v>2</v>
      </c>
      <c r="AC173">
        <v>13568</v>
      </c>
      <c r="AD173">
        <v>42</v>
      </c>
      <c r="AE173">
        <v>2548</v>
      </c>
      <c r="AF173">
        <v>2180</v>
      </c>
      <c r="AG173">
        <v>968</v>
      </c>
      <c r="AH173">
        <v>241</v>
      </c>
      <c r="AI173">
        <v>21793</v>
      </c>
      <c r="AJ173">
        <v>37</v>
      </c>
      <c r="AK173">
        <v>3</v>
      </c>
      <c r="AL173">
        <v>404</v>
      </c>
      <c r="AM173">
        <v>3</v>
      </c>
      <c r="AN173">
        <v>52</v>
      </c>
      <c r="AO173">
        <v>15</v>
      </c>
      <c r="AP173" t="s">
        <v>54</v>
      </c>
    </row>
    <row r="174" spans="1:42" x14ac:dyDescent="0.3">
      <c r="A174" t="s">
        <v>55</v>
      </c>
      <c r="B174">
        <v>11</v>
      </c>
      <c r="C174">
        <v>19</v>
      </c>
      <c r="D174">
        <v>46</v>
      </c>
      <c r="E174">
        <v>49</v>
      </c>
      <c r="F174">
        <v>4</v>
      </c>
      <c r="G174">
        <v>456</v>
      </c>
      <c r="H174">
        <v>137</v>
      </c>
      <c r="I174">
        <v>12</v>
      </c>
      <c r="J174">
        <v>7</v>
      </c>
      <c r="K174">
        <v>3</v>
      </c>
      <c r="L174">
        <v>0</v>
      </c>
      <c r="M174">
        <v>38</v>
      </c>
      <c r="N174">
        <v>8</v>
      </c>
      <c r="O174">
        <v>3</v>
      </c>
      <c r="P174">
        <v>60</v>
      </c>
      <c r="Q174">
        <v>10</v>
      </c>
      <c r="R174">
        <v>55</v>
      </c>
      <c r="S174">
        <v>124</v>
      </c>
      <c r="T174">
        <v>161</v>
      </c>
      <c r="U174">
        <v>750</v>
      </c>
      <c r="V174">
        <v>791</v>
      </c>
      <c r="W174">
        <v>5</v>
      </c>
      <c r="X174">
        <v>1177</v>
      </c>
      <c r="Y174">
        <v>701</v>
      </c>
      <c r="Z174">
        <v>5</v>
      </c>
      <c r="AA174">
        <v>4</v>
      </c>
      <c r="AB174">
        <v>3</v>
      </c>
      <c r="AC174">
        <v>13343</v>
      </c>
      <c r="AD174">
        <v>22</v>
      </c>
      <c r="AE174">
        <v>2706</v>
      </c>
      <c r="AF174">
        <v>1985</v>
      </c>
      <c r="AG174">
        <v>912</v>
      </c>
      <c r="AH174">
        <v>211</v>
      </c>
      <c r="AI174">
        <v>21547</v>
      </c>
      <c r="AJ174">
        <v>44</v>
      </c>
      <c r="AK174">
        <v>2</v>
      </c>
      <c r="AL174">
        <v>355</v>
      </c>
      <c r="AM174">
        <v>0</v>
      </c>
      <c r="AN174">
        <v>38</v>
      </c>
      <c r="AO174">
        <v>26</v>
      </c>
      <c r="AP174" t="s">
        <v>54</v>
      </c>
    </row>
    <row r="175" spans="1:42" x14ac:dyDescent="0.3">
      <c r="A175" t="s">
        <v>35</v>
      </c>
      <c r="B175">
        <v>11</v>
      </c>
      <c r="C175">
        <v>16</v>
      </c>
      <c r="D175">
        <v>38</v>
      </c>
      <c r="E175">
        <v>64</v>
      </c>
      <c r="F175">
        <v>3</v>
      </c>
      <c r="G175">
        <v>412</v>
      </c>
      <c r="H175">
        <v>132</v>
      </c>
      <c r="I175">
        <v>10</v>
      </c>
      <c r="J175">
        <v>16</v>
      </c>
      <c r="K175">
        <v>4</v>
      </c>
      <c r="L175">
        <v>0</v>
      </c>
      <c r="M175">
        <v>35</v>
      </c>
      <c r="N175">
        <v>3</v>
      </c>
      <c r="O175">
        <v>1</v>
      </c>
      <c r="P175">
        <v>65</v>
      </c>
      <c r="Q175">
        <v>16</v>
      </c>
      <c r="R175">
        <v>51</v>
      </c>
      <c r="S175">
        <v>131</v>
      </c>
      <c r="T175">
        <v>155</v>
      </c>
      <c r="U175">
        <v>585</v>
      </c>
      <c r="V175">
        <v>696</v>
      </c>
      <c r="W175">
        <v>2</v>
      </c>
      <c r="X175">
        <v>1084</v>
      </c>
      <c r="Y175">
        <v>597</v>
      </c>
      <c r="Z175">
        <v>0</v>
      </c>
      <c r="AA175">
        <v>7</v>
      </c>
      <c r="AB175">
        <v>5</v>
      </c>
      <c r="AC175">
        <v>14445</v>
      </c>
      <c r="AD175">
        <v>56</v>
      </c>
      <c r="AE175">
        <v>2732</v>
      </c>
      <c r="AF175">
        <v>2147</v>
      </c>
      <c r="AG175">
        <v>712</v>
      </c>
      <c r="AH175">
        <v>171</v>
      </c>
      <c r="AI175">
        <v>21820</v>
      </c>
      <c r="AJ175">
        <v>25</v>
      </c>
      <c r="AK175">
        <v>4</v>
      </c>
      <c r="AL175">
        <v>507</v>
      </c>
      <c r="AM175">
        <v>1</v>
      </c>
      <c r="AN175">
        <v>76</v>
      </c>
      <c r="AO175">
        <v>13</v>
      </c>
      <c r="AP175" t="s">
        <v>54</v>
      </c>
    </row>
    <row r="176" spans="1:42" x14ac:dyDescent="0.3">
      <c r="A176" t="s">
        <v>6</v>
      </c>
      <c r="B176">
        <v>10</v>
      </c>
      <c r="C176">
        <v>20</v>
      </c>
      <c r="D176">
        <v>31</v>
      </c>
      <c r="E176">
        <v>70</v>
      </c>
      <c r="F176">
        <v>7</v>
      </c>
      <c r="G176">
        <v>418</v>
      </c>
      <c r="H176">
        <v>125</v>
      </c>
      <c r="I176">
        <v>5</v>
      </c>
      <c r="J176">
        <v>7</v>
      </c>
      <c r="K176">
        <v>1</v>
      </c>
      <c r="L176">
        <v>1</v>
      </c>
      <c r="M176">
        <v>28</v>
      </c>
      <c r="N176">
        <v>3</v>
      </c>
      <c r="O176">
        <v>2</v>
      </c>
      <c r="P176">
        <v>70</v>
      </c>
      <c r="Q176">
        <v>10</v>
      </c>
      <c r="R176">
        <v>57</v>
      </c>
      <c r="S176">
        <v>112</v>
      </c>
      <c r="T176">
        <v>135</v>
      </c>
      <c r="U176">
        <v>487</v>
      </c>
      <c r="V176">
        <v>623</v>
      </c>
      <c r="W176">
        <v>6</v>
      </c>
      <c r="X176">
        <v>1130</v>
      </c>
      <c r="Y176">
        <v>661</v>
      </c>
      <c r="Z176">
        <v>1</v>
      </c>
      <c r="AA176">
        <v>4</v>
      </c>
      <c r="AB176">
        <v>4</v>
      </c>
      <c r="AC176">
        <v>16527</v>
      </c>
      <c r="AD176">
        <v>14</v>
      </c>
      <c r="AE176">
        <v>2740</v>
      </c>
      <c r="AF176">
        <v>2575</v>
      </c>
      <c r="AG176">
        <v>766</v>
      </c>
      <c r="AH176">
        <v>171</v>
      </c>
      <c r="AI176">
        <v>23785</v>
      </c>
      <c r="AJ176">
        <v>26</v>
      </c>
      <c r="AK176">
        <v>2</v>
      </c>
      <c r="AL176">
        <v>413</v>
      </c>
      <c r="AM176">
        <v>0</v>
      </c>
      <c r="AN176">
        <v>77</v>
      </c>
      <c r="AO176">
        <v>18</v>
      </c>
      <c r="AP176" t="s">
        <v>54</v>
      </c>
    </row>
    <row r="177" spans="1:42" x14ac:dyDescent="0.3">
      <c r="A177" t="s">
        <v>10</v>
      </c>
      <c r="B177">
        <v>10</v>
      </c>
      <c r="C177">
        <v>19</v>
      </c>
      <c r="D177">
        <v>40</v>
      </c>
      <c r="E177">
        <v>65</v>
      </c>
      <c r="F177">
        <v>7</v>
      </c>
      <c r="G177">
        <v>468</v>
      </c>
      <c r="H177">
        <v>143</v>
      </c>
      <c r="I177">
        <v>6</v>
      </c>
      <c r="J177">
        <v>7</v>
      </c>
      <c r="K177">
        <v>1</v>
      </c>
      <c r="L177">
        <v>0</v>
      </c>
      <c r="M177">
        <v>34</v>
      </c>
      <c r="N177">
        <v>6</v>
      </c>
      <c r="O177">
        <v>1</v>
      </c>
      <c r="P177">
        <v>38</v>
      </c>
      <c r="Q177">
        <v>8</v>
      </c>
      <c r="R177">
        <v>63</v>
      </c>
      <c r="S177">
        <v>98</v>
      </c>
      <c r="T177">
        <v>100</v>
      </c>
      <c r="U177">
        <v>639</v>
      </c>
      <c r="V177">
        <v>824</v>
      </c>
      <c r="W177">
        <v>6</v>
      </c>
      <c r="X177">
        <v>1020</v>
      </c>
      <c r="Y177">
        <v>569</v>
      </c>
      <c r="Z177">
        <v>1</v>
      </c>
      <c r="AA177">
        <v>4</v>
      </c>
      <c r="AB177">
        <v>4</v>
      </c>
      <c r="AC177">
        <v>15019</v>
      </c>
      <c r="AD177">
        <v>57</v>
      </c>
      <c r="AE177">
        <v>2378</v>
      </c>
      <c r="AF177">
        <v>2320</v>
      </c>
      <c r="AG177">
        <v>864</v>
      </c>
      <c r="AH177">
        <v>222</v>
      </c>
      <c r="AI177">
        <v>23375</v>
      </c>
      <c r="AJ177">
        <v>34</v>
      </c>
      <c r="AK177">
        <v>3</v>
      </c>
      <c r="AL177">
        <v>466</v>
      </c>
      <c r="AM177">
        <v>0</v>
      </c>
      <c r="AN177">
        <v>53</v>
      </c>
      <c r="AO177">
        <v>21</v>
      </c>
      <c r="AP177" t="s">
        <v>54</v>
      </c>
    </row>
    <row r="178" spans="1:42" x14ac:dyDescent="0.3">
      <c r="A178" t="s">
        <v>38</v>
      </c>
      <c r="B178">
        <v>8</v>
      </c>
      <c r="C178">
        <v>19</v>
      </c>
      <c r="D178">
        <v>33</v>
      </c>
      <c r="E178">
        <v>73</v>
      </c>
      <c r="F178">
        <v>6</v>
      </c>
      <c r="G178">
        <v>428</v>
      </c>
      <c r="H178">
        <v>131</v>
      </c>
      <c r="I178">
        <v>11</v>
      </c>
      <c r="J178">
        <v>10</v>
      </c>
      <c r="K178">
        <v>1</v>
      </c>
      <c r="L178">
        <v>0</v>
      </c>
      <c r="M178">
        <v>30</v>
      </c>
      <c r="N178">
        <v>3</v>
      </c>
      <c r="O178">
        <v>2</v>
      </c>
      <c r="P178">
        <v>72</v>
      </c>
      <c r="Q178">
        <v>10</v>
      </c>
      <c r="R178">
        <v>51</v>
      </c>
      <c r="S178">
        <v>102</v>
      </c>
      <c r="T178">
        <v>158</v>
      </c>
      <c r="U178">
        <v>607</v>
      </c>
      <c r="V178">
        <v>763</v>
      </c>
      <c r="W178">
        <v>2</v>
      </c>
      <c r="X178">
        <v>1316</v>
      </c>
      <c r="Y178">
        <v>761</v>
      </c>
      <c r="Z178">
        <v>0</v>
      </c>
      <c r="AA178">
        <v>3</v>
      </c>
      <c r="AB178">
        <v>1</v>
      </c>
      <c r="AC178">
        <v>14864</v>
      </c>
      <c r="AD178">
        <v>21</v>
      </c>
      <c r="AE178">
        <v>2726</v>
      </c>
      <c r="AF178">
        <v>2237</v>
      </c>
      <c r="AG178">
        <v>804</v>
      </c>
      <c r="AH178">
        <v>169</v>
      </c>
      <c r="AI178">
        <v>22464</v>
      </c>
      <c r="AJ178">
        <v>22</v>
      </c>
      <c r="AK178">
        <v>7</v>
      </c>
      <c r="AL178">
        <v>443</v>
      </c>
      <c r="AM178">
        <v>2</v>
      </c>
      <c r="AN178">
        <v>36</v>
      </c>
      <c r="AO178">
        <v>23</v>
      </c>
      <c r="AP178" t="s">
        <v>54</v>
      </c>
    </row>
    <row r="179" spans="1:42" x14ac:dyDescent="0.3">
      <c r="A179" t="s">
        <v>46</v>
      </c>
      <c r="B179">
        <v>8</v>
      </c>
      <c r="C179">
        <v>24</v>
      </c>
      <c r="D179">
        <v>42</v>
      </c>
      <c r="E179">
        <v>75</v>
      </c>
      <c r="F179">
        <v>3</v>
      </c>
      <c r="G179">
        <v>534</v>
      </c>
      <c r="H179">
        <v>150</v>
      </c>
      <c r="I179">
        <v>16</v>
      </c>
      <c r="J179">
        <v>10</v>
      </c>
      <c r="K179">
        <v>3</v>
      </c>
      <c r="L179">
        <v>1</v>
      </c>
      <c r="M179">
        <v>34</v>
      </c>
      <c r="N179">
        <v>8</v>
      </c>
      <c r="O179">
        <v>1</v>
      </c>
      <c r="P179">
        <v>81</v>
      </c>
      <c r="Q179">
        <v>6</v>
      </c>
      <c r="R179">
        <v>73</v>
      </c>
      <c r="S179">
        <v>142</v>
      </c>
      <c r="T179">
        <v>159</v>
      </c>
      <c r="U179">
        <v>561</v>
      </c>
      <c r="V179">
        <v>781</v>
      </c>
      <c r="W179">
        <v>6</v>
      </c>
      <c r="X179">
        <v>1445</v>
      </c>
      <c r="Y179">
        <v>884</v>
      </c>
      <c r="Z179">
        <v>4</v>
      </c>
      <c r="AA179">
        <v>4</v>
      </c>
      <c r="AB179">
        <v>2</v>
      </c>
      <c r="AC179">
        <v>13659</v>
      </c>
      <c r="AD179">
        <v>17</v>
      </c>
      <c r="AE179">
        <v>3004</v>
      </c>
      <c r="AF179">
        <v>1922</v>
      </c>
      <c r="AG179">
        <v>756</v>
      </c>
      <c r="AH179">
        <v>179</v>
      </c>
      <c r="AI179">
        <v>21907</v>
      </c>
      <c r="AJ179">
        <v>39</v>
      </c>
      <c r="AK179">
        <v>6</v>
      </c>
      <c r="AL179">
        <v>468</v>
      </c>
      <c r="AM179">
        <v>2</v>
      </c>
      <c r="AN179">
        <v>57</v>
      </c>
      <c r="AO179">
        <v>20</v>
      </c>
      <c r="AP179" t="s">
        <v>54</v>
      </c>
    </row>
    <row r="180" spans="1:42" x14ac:dyDescent="0.3">
      <c r="A180" t="s">
        <v>40</v>
      </c>
      <c r="B180">
        <v>7</v>
      </c>
      <c r="C180">
        <v>19</v>
      </c>
      <c r="D180">
        <v>28</v>
      </c>
      <c r="E180">
        <v>64</v>
      </c>
      <c r="F180">
        <v>2</v>
      </c>
      <c r="G180">
        <v>430</v>
      </c>
      <c r="H180">
        <v>125</v>
      </c>
      <c r="I180">
        <v>13</v>
      </c>
      <c r="J180">
        <v>8</v>
      </c>
      <c r="K180">
        <v>1</v>
      </c>
      <c r="L180">
        <v>1</v>
      </c>
      <c r="M180">
        <v>24</v>
      </c>
      <c r="N180">
        <v>4</v>
      </c>
      <c r="O180">
        <v>0</v>
      </c>
      <c r="P180">
        <v>64</v>
      </c>
      <c r="Q180">
        <v>10</v>
      </c>
      <c r="R180">
        <v>53</v>
      </c>
      <c r="S180">
        <v>128</v>
      </c>
      <c r="T180">
        <v>180</v>
      </c>
      <c r="U180">
        <v>568</v>
      </c>
      <c r="V180">
        <v>615</v>
      </c>
      <c r="W180">
        <v>3</v>
      </c>
      <c r="X180">
        <v>1458</v>
      </c>
      <c r="Y180">
        <v>999</v>
      </c>
      <c r="Z180">
        <v>2</v>
      </c>
      <c r="AA180">
        <v>5</v>
      </c>
      <c r="AB180">
        <v>3</v>
      </c>
      <c r="AC180">
        <v>13632</v>
      </c>
      <c r="AD180">
        <v>17</v>
      </c>
      <c r="AE180">
        <v>3021</v>
      </c>
      <c r="AF180">
        <v>1891</v>
      </c>
      <c r="AG180">
        <v>783</v>
      </c>
      <c r="AH180">
        <v>171</v>
      </c>
      <c r="AI180">
        <v>21624</v>
      </c>
      <c r="AJ180">
        <v>27</v>
      </c>
      <c r="AK180">
        <v>8</v>
      </c>
      <c r="AL180">
        <v>345</v>
      </c>
      <c r="AM180">
        <v>2</v>
      </c>
      <c r="AN180">
        <v>53</v>
      </c>
      <c r="AO180">
        <v>15</v>
      </c>
      <c r="AP180" t="s">
        <v>54</v>
      </c>
    </row>
    <row r="181" spans="1:42" x14ac:dyDescent="0.3">
      <c r="A181" t="s">
        <v>29</v>
      </c>
      <c r="B181">
        <v>7</v>
      </c>
      <c r="C181">
        <v>14</v>
      </c>
      <c r="D181">
        <v>31</v>
      </c>
      <c r="E181">
        <v>94</v>
      </c>
      <c r="F181">
        <v>2</v>
      </c>
      <c r="G181">
        <v>408</v>
      </c>
      <c r="H181">
        <v>130</v>
      </c>
      <c r="I181">
        <v>11</v>
      </c>
      <c r="J181">
        <v>8</v>
      </c>
      <c r="K181">
        <v>4</v>
      </c>
      <c r="L181">
        <v>2</v>
      </c>
      <c r="M181">
        <v>25</v>
      </c>
      <c r="N181">
        <v>6</v>
      </c>
      <c r="O181">
        <v>2</v>
      </c>
      <c r="P181">
        <v>69</v>
      </c>
      <c r="Q181">
        <v>13</v>
      </c>
      <c r="R181">
        <v>53</v>
      </c>
      <c r="S181">
        <v>144</v>
      </c>
      <c r="T181">
        <v>168</v>
      </c>
      <c r="U181">
        <v>578</v>
      </c>
      <c r="V181">
        <v>759</v>
      </c>
      <c r="W181">
        <v>4</v>
      </c>
      <c r="X181">
        <v>994</v>
      </c>
      <c r="Y181">
        <v>525</v>
      </c>
      <c r="Z181">
        <v>5</v>
      </c>
      <c r="AA181">
        <v>4</v>
      </c>
      <c r="AB181">
        <v>4</v>
      </c>
      <c r="AC181">
        <v>14451</v>
      </c>
      <c r="AD181">
        <v>40</v>
      </c>
      <c r="AE181">
        <v>2484</v>
      </c>
      <c r="AF181">
        <v>2290</v>
      </c>
      <c r="AG181">
        <v>687</v>
      </c>
      <c r="AH181">
        <v>186</v>
      </c>
      <c r="AI181">
        <v>22037</v>
      </c>
      <c r="AJ181">
        <v>23</v>
      </c>
      <c r="AK181">
        <v>3</v>
      </c>
      <c r="AL181">
        <v>411</v>
      </c>
      <c r="AM181">
        <v>0</v>
      </c>
      <c r="AN181">
        <v>82</v>
      </c>
      <c r="AO181">
        <v>17</v>
      </c>
      <c r="AP181" t="s">
        <v>54</v>
      </c>
    </row>
    <row r="182" spans="1:42" x14ac:dyDescent="0.3">
      <c r="A182" t="s">
        <v>55</v>
      </c>
      <c r="B182">
        <v>23</v>
      </c>
      <c r="C182">
        <v>3</v>
      </c>
      <c r="D182">
        <v>68</v>
      </c>
      <c r="E182">
        <v>48</v>
      </c>
      <c r="F182">
        <v>3</v>
      </c>
      <c r="G182">
        <v>522</v>
      </c>
      <c r="H182">
        <v>179</v>
      </c>
      <c r="I182">
        <v>11</v>
      </c>
      <c r="J182">
        <v>11</v>
      </c>
      <c r="K182">
        <v>10</v>
      </c>
      <c r="L182">
        <v>0</v>
      </c>
      <c r="M182">
        <v>65</v>
      </c>
      <c r="N182">
        <v>3</v>
      </c>
      <c r="O182">
        <v>6</v>
      </c>
      <c r="P182">
        <v>50</v>
      </c>
      <c r="Q182">
        <v>15</v>
      </c>
      <c r="R182">
        <v>36</v>
      </c>
      <c r="S182">
        <v>99</v>
      </c>
      <c r="T182">
        <v>166</v>
      </c>
      <c r="U182">
        <v>819</v>
      </c>
      <c r="V182">
        <v>869</v>
      </c>
      <c r="W182">
        <v>0</v>
      </c>
      <c r="X182">
        <v>1040</v>
      </c>
      <c r="Y182">
        <v>552</v>
      </c>
      <c r="Z182">
        <v>0</v>
      </c>
      <c r="AA182">
        <v>4</v>
      </c>
      <c r="AB182">
        <v>4</v>
      </c>
      <c r="AC182">
        <v>13370</v>
      </c>
      <c r="AD182">
        <v>54</v>
      </c>
      <c r="AE182">
        <v>2695</v>
      </c>
      <c r="AF182">
        <v>1970</v>
      </c>
      <c r="AG182">
        <v>762</v>
      </c>
      <c r="AH182">
        <v>197</v>
      </c>
      <c r="AI182">
        <v>21710</v>
      </c>
      <c r="AJ182">
        <v>61</v>
      </c>
      <c r="AK182">
        <v>7</v>
      </c>
      <c r="AL182">
        <v>366</v>
      </c>
      <c r="AM182">
        <v>0</v>
      </c>
      <c r="AN182">
        <v>49</v>
      </c>
      <c r="AO182">
        <v>22</v>
      </c>
      <c r="AP182" t="s">
        <v>56</v>
      </c>
    </row>
    <row r="183" spans="1:42" x14ac:dyDescent="0.3">
      <c r="A183" t="s">
        <v>5</v>
      </c>
      <c r="B183">
        <v>20</v>
      </c>
      <c r="C183">
        <v>7</v>
      </c>
      <c r="D183">
        <v>65</v>
      </c>
      <c r="E183">
        <v>40</v>
      </c>
      <c r="F183">
        <v>4</v>
      </c>
      <c r="G183">
        <v>571</v>
      </c>
      <c r="H183">
        <v>211</v>
      </c>
      <c r="I183">
        <v>21</v>
      </c>
      <c r="J183">
        <v>13</v>
      </c>
      <c r="K183">
        <v>1</v>
      </c>
      <c r="L183">
        <v>1</v>
      </c>
      <c r="M183">
        <v>61</v>
      </c>
      <c r="N183">
        <v>4</v>
      </c>
      <c r="O183">
        <v>3</v>
      </c>
      <c r="P183">
        <v>86</v>
      </c>
      <c r="Q183">
        <v>18</v>
      </c>
      <c r="R183">
        <v>36</v>
      </c>
      <c r="S183">
        <v>118</v>
      </c>
      <c r="T183">
        <v>128</v>
      </c>
      <c r="U183">
        <v>734</v>
      </c>
      <c r="V183">
        <v>709</v>
      </c>
      <c r="W183">
        <v>4</v>
      </c>
      <c r="X183">
        <v>849</v>
      </c>
      <c r="Y183">
        <v>418</v>
      </c>
      <c r="Z183">
        <v>3</v>
      </c>
      <c r="AA183">
        <v>1</v>
      </c>
      <c r="AB183">
        <v>1</v>
      </c>
      <c r="AC183">
        <v>21249</v>
      </c>
      <c r="AD183">
        <v>168</v>
      </c>
      <c r="AE183">
        <v>1859</v>
      </c>
      <c r="AF183">
        <v>2946</v>
      </c>
      <c r="AG183">
        <v>754</v>
      </c>
      <c r="AH183">
        <v>227</v>
      </c>
      <c r="AI183">
        <v>29337</v>
      </c>
      <c r="AJ183">
        <v>69</v>
      </c>
      <c r="AK183">
        <v>3</v>
      </c>
      <c r="AL183">
        <v>511</v>
      </c>
      <c r="AM183">
        <v>0</v>
      </c>
      <c r="AN183">
        <v>45</v>
      </c>
      <c r="AO183">
        <v>20</v>
      </c>
      <c r="AP183" t="s">
        <v>56</v>
      </c>
    </row>
    <row r="184" spans="1:42" x14ac:dyDescent="0.3">
      <c r="A184" t="s">
        <v>26</v>
      </c>
      <c r="B184">
        <v>19</v>
      </c>
      <c r="C184">
        <v>10</v>
      </c>
      <c r="D184">
        <v>71</v>
      </c>
      <c r="E184">
        <v>61</v>
      </c>
      <c r="F184">
        <v>0</v>
      </c>
      <c r="G184">
        <v>615</v>
      </c>
      <c r="H184">
        <v>210</v>
      </c>
      <c r="I184">
        <v>15</v>
      </c>
      <c r="J184">
        <v>13</v>
      </c>
      <c r="K184">
        <v>5</v>
      </c>
      <c r="L184">
        <v>0</v>
      </c>
      <c r="M184">
        <v>57</v>
      </c>
      <c r="N184">
        <v>14</v>
      </c>
      <c r="O184">
        <v>5</v>
      </c>
      <c r="P184">
        <v>63</v>
      </c>
      <c r="Q184">
        <v>16</v>
      </c>
      <c r="R184">
        <v>41</v>
      </c>
      <c r="S184">
        <v>86</v>
      </c>
      <c r="T184">
        <v>66</v>
      </c>
      <c r="U184">
        <v>630</v>
      </c>
      <c r="V184">
        <v>729</v>
      </c>
      <c r="W184">
        <v>3</v>
      </c>
      <c r="X184">
        <v>940</v>
      </c>
      <c r="Y184">
        <v>513</v>
      </c>
      <c r="Z184">
        <v>1</v>
      </c>
      <c r="AA184">
        <v>1</v>
      </c>
      <c r="AB184">
        <v>1</v>
      </c>
      <c r="AC184">
        <v>20488</v>
      </c>
      <c r="AD184">
        <v>84</v>
      </c>
      <c r="AE184">
        <v>2082</v>
      </c>
      <c r="AF184">
        <v>2895</v>
      </c>
      <c r="AG184">
        <v>866</v>
      </c>
      <c r="AH184">
        <v>257</v>
      </c>
      <c r="AI184">
        <v>28396</v>
      </c>
      <c r="AJ184">
        <v>50</v>
      </c>
      <c r="AK184">
        <v>2</v>
      </c>
      <c r="AL184">
        <v>556</v>
      </c>
      <c r="AM184">
        <v>0</v>
      </c>
      <c r="AN184">
        <v>38</v>
      </c>
      <c r="AO184">
        <v>41</v>
      </c>
      <c r="AP184" t="s">
        <v>56</v>
      </c>
    </row>
    <row r="185" spans="1:42" x14ac:dyDescent="0.3">
      <c r="A185" t="s">
        <v>22</v>
      </c>
      <c r="B185">
        <v>19</v>
      </c>
      <c r="C185">
        <v>10</v>
      </c>
      <c r="D185">
        <v>49</v>
      </c>
      <c r="E185">
        <v>65</v>
      </c>
      <c r="F185">
        <v>1</v>
      </c>
      <c r="G185">
        <v>430</v>
      </c>
      <c r="H185">
        <v>144</v>
      </c>
      <c r="I185">
        <v>9</v>
      </c>
      <c r="J185">
        <v>5</v>
      </c>
      <c r="K185">
        <v>3</v>
      </c>
      <c r="L185">
        <v>1</v>
      </c>
      <c r="M185">
        <v>44</v>
      </c>
      <c r="N185">
        <v>5</v>
      </c>
      <c r="O185">
        <v>2</v>
      </c>
      <c r="P185">
        <v>75</v>
      </c>
      <c r="Q185">
        <v>18</v>
      </c>
      <c r="R185">
        <v>35</v>
      </c>
      <c r="S185">
        <v>90</v>
      </c>
      <c r="T185">
        <v>96</v>
      </c>
      <c r="U185">
        <v>594</v>
      </c>
      <c r="V185">
        <v>760</v>
      </c>
      <c r="W185">
        <v>4</v>
      </c>
      <c r="X185">
        <v>755</v>
      </c>
      <c r="Y185">
        <v>373</v>
      </c>
      <c r="Z185">
        <v>2</v>
      </c>
      <c r="AA185">
        <v>2</v>
      </c>
      <c r="AB185">
        <v>2</v>
      </c>
      <c r="AC185">
        <v>20070</v>
      </c>
      <c r="AD185">
        <v>43</v>
      </c>
      <c r="AE185">
        <v>2649</v>
      </c>
      <c r="AF185">
        <v>3221</v>
      </c>
      <c r="AG185">
        <v>786</v>
      </c>
      <c r="AH185">
        <v>228</v>
      </c>
      <c r="AI185">
        <v>27542</v>
      </c>
      <c r="AJ185">
        <v>28</v>
      </c>
      <c r="AK185">
        <v>4</v>
      </c>
      <c r="AL185">
        <v>522</v>
      </c>
      <c r="AM185">
        <v>0</v>
      </c>
      <c r="AN185">
        <v>29</v>
      </c>
      <c r="AO185">
        <v>13</v>
      </c>
      <c r="AP185" t="s">
        <v>56</v>
      </c>
    </row>
    <row r="186" spans="1:42" x14ac:dyDescent="0.3">
      <c r="A186" t="s">
        <v>21</v>
      </c>
      <c r="B186">
        <v>19</v>
      </c>
      <c r="C186">
        <v>6</v>
      </c>
      <c r="D186">
        <v>69</v>
      </c>
      <c r="E186">
        <v>72</v>
      </c>
      <c r="F186">
        <v>0</v>
      </c>
      <c r="G186">
        <v>659</v>
      </c>
      <c r="H186">
        <v>252</v>
      </c>
      <c r="I186">
        <v>19</v>
      </c>
      <c r="J186">
        <v>7</v>
      </c>
      <c r="K186">
        <v>5</v>
      </c>
      <c r="L186">
        <v>2</v>
      </c>
      <c r="M186">
        <v>59</v>
      </c>
      <c r="N186">
        <v>10</v>
      </c>
      <c r="O186">
        <v>3</v>
      </c>
      <c r="P186">
        <v>72</v>
      </c>
      <c r="Q186">
        <v>13</v>
      </c>
      <c r="R186">
        <v>35</v>
      </c>
      <c r="S186">
        <v>89</v>
      </c>
      <c r="T186">
        <v>140</v>
      </c>
      <c r="U186">
        <v>645</v>
      </c>
      <c r="V186">
        <v>805</v>
      </c>
      <c r="W186">
        <v>1</v>
      </c>
      <c r="X186">
        <v>1046</v>
      </c>
      <c r="Y186">
        <v>576</v>
      </c>
      <c r="Z186">
        <v>3</v>
      </c>
      <c r="AA186">
        <v>2</v>
      </c>
      <c r="AB186">
        <v>2</v>
      </c>
      <c r="AC186">
        <v>18649</v>
      </c>
      <c r="AD186">
        <v>64</v>
      </c>
      <c r="AE186">
        <v>2554</v>
      </c>
      <c r="AF186">
        <v>2708</v>
      </c>
      <c r="AG186">
        <v>738</v>
      </c>
      <c r="AH186">
        <v>254</v>
      </c>
      <c r="AI186">
        <v>27014</v>
      </c>
      <c r="AJ186">
        <v>47</v>
      </c>
      <c r="AK186">
        <v>2</v>
      </c>
      <c r="AL186">
        <v>581</v>
      </c>
      <c r="AM186">
        <v>0</v>
      </c>
      <c r="AN186">
        <v>38</v>
      </c>
      <c r="AO186">
        <v>27</v>
      </c>
      <c r="AP186" t="s">
        <v>56</v>
      </c>
    </row>
    <row r="187" spans="1:42" x14ac:dyDescent="0.3">
      <c r="A187" t="s">
        <v>50</v>
      </c>
      <c r="B187">
        <v>18</v>
      </c>
      <c r="C187">
        <v>11</v>
      </c>
      <c r="D187">
        <v>59</v>
      </c>
      <c r="E187">
        <v>57</v>
      </c>
      <c r="F187">
        <v>6</v>
      </c>
      <c r="G187">
        <v>519</v>
      </c>
      <c r="H187">
        <v>166</v>
      </c>
      <c r="I187">
        <v>13</v>
      </c>
      <c r="J187">
        <v>15</v>
      </c>
      <c r="K187">
        <v>3</v>
      </c>
      <c r="L187">
        <v>1</v>
      </c>
      <c r="M187">
        <v>53</v>
      </c>
      <c r="N187">
        <v>6</v>
      </c>
      <c r="O187">
        <v>3</v>
      </c>
      <c r="P187">
        <v>98</v>
      </c>
      <c r="Q187">
        <v>12</v>
      </c>
      <c r="R187">
        <v>41</v>
      </c>
      <c r="S187">
        <v>94</v>
      </c>
      <c r="T187">
        <v>136</v>
      </c>
      <c r="U187">
        <v>709</v>
      </c>
      <c r="V187">
        <v>714</v>
      </c>
      <c r="W187">
        <v>3</v>
      </c>
      <c r="X187">
        <v>1101</v>
      </c>
      <c r="Y187">
        <v>515</v>
      </c>
      <c r="Z187">
        <v>0</v>
      </c>
      <c r="AA187">
        <v>1</v>
      </c>
      <c r="AB187">
        <v>1</v>
      </c>
      <c r="AC187">
        <v>15913</v>
      </c>
      <c r="AD187">
        <v>46</v>
      </c>
      <c r="AE187">
        <v>2509</v>
      </c>
      <c r="AF187">
        <v>2385</v>
      </c>
      <c r="AG187">
        <v>956</v>
      </c>
      <c r="AH187">
        <v>220</v>
      </c>
      <c r="AI187">
        <v>23716</v>
      </c>
      <c r="AJ187">
        <v>43</v>
      </c>
      <c r="AK187">
        <v>6</v>
      </c>
      <c r="AL187">
        <v>425</v>
      </c>
      <c r="AM187">
        <v>0</v>
      </c>
      <c r="AN187">
        <v>36</v>
      </c>
      <c r="AO187">
        <v>12</v>
      </c>
      <c r="AP187" t="s">
        <v>56</v>
      </c>
    </row>
    <row r="188" spans="1:42" x14ac:dyDescent="0.3">
      <c r="A188" t="s">
        <v>2</v>
      </c>
      <c r="B188">
        <v>16</v>
      </c>
      <c r="C188">
        <v>10</v>
      </c>
      <c r="D188">
        <v>63</v>
      </c>
      <c r="E188">
        <v>61</v>
      </c>
      <c r="F188">
        <v>3</v>
      </c>
      <c r="G188">
        <v>629</v>
      </c>
      <c r="H188">
        <v>202</v>
      </c>
      <c r="I188">
        <v>16</v>
      </c>
      <c r="J188">
        <v>12</v>
      </c>
      <c r="K188">
        <v>2</v>
      </c>
      <c r="L188">
        <v>1</v>
      </c>
      <c r="M188">
        <v>48</v>
      </c>
      <c r="N188">
        <v>15</v>
      </c>
      <c r="O188">
        <v>1</v>
      </c>
      <c r="P188">
        <v>91</v>
      </c>
      <c r="Q188">
        <v>11</v>
      </c>
      <c r="R188">
        <v>50</v>
      </c>
      <c r="S188">
        <v>81</v>
      </c>
      <c r="T188">
        <v>108</v>
      </c>
      <c r="U188">
        <v>549</v>
      </c>
      <c r="V188">
        <v>871</v>
      </c>
      <c r="W188">
        <v>4</v>
      </c>
      <c r="X188">
        <v>871</v>
      </c>
      <c r="Y188">
        <v>407</v>
      </c>
      <c r="Z188">
        <v>1</v>
      </c>
      <c r="AA188">
        <v>3</v>
      </c>
      <c r="AB188">
        <v>2</v>
      </c>
      <c r="AC188">
        <v>19733</v>
      </c>
      <c r="AD188">
        <v>75</v>
      </c>
      <c r="AE188">
        <v>2370</v>
      </c>
      <c r="AF188">
        <v>2842</v>
      </c>
      <c r="AG188">
        <v>780</v>
      </c>
      <c r="AH188">
        <v>265</v>
      </c>
      <c r="AI188">
        <v>27890</v>
      </c>
      <c r="AJ188">
        <v>36</v>
      </c>
      <c r="AK188">
        <v>2</v>
      </c>
      <c r="AL188">
        <v>560</v>
      </c>
      <c r="AM188">
        <v>1</v>
      </c>
      <c r="AN188">
        <v>41</v>
      </c>
      <c r="AO188">
        <v>18</v>
      </c>
      <c r="AP188" t="s">
        <v>56</v>
      </c>
    </row>
    <row r="189" spans="1:42" x14ac:dyDescent="0.3">
      <c r="A189" t="s">
        <v>18</v>
      </c>
      <c r="B189">
        <v>16</v>
      </c>
      <c r="C189">
        <v>8</v>
      </c>
      <c r="D189">
        <v>65</v>
      </c>
      <c r="E189">
        <v>58</v>
      </c>
      <c r="F189">
        <v>5</v>
      </c>
      <c r="G189">
        <v>558</v>
      </c>
      <c r="H189">
        <v>185</v>
      </c>
      <c r="I189">
        <v>19</v>
      </c>
      <c r="J189">
        <v>15</v>
      </c>
      <c r="K189">
        <v>4</v>
      </c>
      <c r="L189">
        <v>4</v>
      </c>
      <c r="M189">
        <v>55</v>
      </c>
      <c r="N189">
        <v>10</v>
      </c>
      <c r="O189">
        <v>2</v>
      </c>
      <c r="P189">
        <v>82</v>
      </c>
      <c r="Q189">
        <v>11</v>
      </c>
      <c r="R189">
        <v>51</v>
      </c>
      <c r="S189">
        <v>111</v>
      </c>
      <c r="T189">
        <v>162</v>
      </c>
      <c r="U189">
        <v>668</v>
      </c>
      <c r="V189">
        <v>711</v>
      </c>
      <c r="W189">
        <v>1</v>
      </c>
      <c r="X189">
        <v>1003</v>
      </c>
      <c r="Y189">
        <v>568</v>
      </c>
      <c r="Z189">
        <v>2</v>
      </c>
      <c r="AA189">
        <v>8</v>
      </c>
      <c r="AB189">
        <v>6</v>
      </c>
      <c r="AC189">
        <v>15031</v>
      </c>
      <c r="AD189">
        <v>32</v>
      </c>
      <c r="AE189">
        <v>2568</v>
      </c>
      <c r="AF189">
        <v>2236</v>
      </c>
      <c r="AG189">
        <v>805</v>
      </c>
      <c r="AH189">
        <v>224</v>
      </c>
      <c r="AI189">
        <v>23104</v>
      </c>
      <c r="AJ189">
        <v>39</v>
      </c>
      <c r="AK189">
        <v>8</v>
      </c>
      <c r="AL189">
        <v>389</v>
      </c>
      <c r="AM189">
        <v>2</v>
      </c>
      <c r="AN189">
        <v>50</v>
      </c>
      <c r="AO189">
        <v>19</v>
      </c>
      <c r="AP189" t="s">
        <v>56</v>
      </c>
    </row>
    <row r="190" spans="1:42" x14ac:dyDescent="0.3">
      <c r="A190" t="s">
        <v>37</v>
      </c>
      <c r="B190">
        <v>14</v>
      </c>
      <c r="C190">
        <v>15</v>
      </c>
      <c r="D190">
        <v>41</v>
      </c>
      <c r="E190">
        <v>51</v>
      </c>
      <c r="F190">
        <v>4</v>
      </c>
      <c r="G190">
        <v>419</v>
      </c>
      <c r="H190">
        <v>128</v>
      </c>
      <c r="I190">
        <v>5</v>
      </c>
      <c r="J190">
        <v>9</v>
      </c>
      <c r="K190">
        <v>5</v>
      </c>
      <c r="L190">
        <v>0</v>
      </c>
      <c r="M190">
        <v>33</v>
      </c>
      <c r="N190">
        <v>8</v>
      </c>
      <c r="O190">
        <v>0</v>
      </c>
      <c r="P190">
        <v>103</v>
      </c>
      <c r="Q190">
        <v>10</v>
      </c>
      <c r="R190">
        <v>55</v>
      </c>
      <c r="S190">
        <v>121</v>
      </c>
      <c r="T190">
        <v>149</v>
      </c>
      <c r="U190">
        <v>576</v>
      </c>
      <c r="V190">
        <v>710</v>
      </c>
      <c r="W190">
        <v>7</v>
      </c>
      <c r="X190">
        <v>826</v>
      </c>
      <c r="Y190">
        <v>426</v>
      </c>
      <c r="Z190">
        <v>0</v>
      </c>
      <c r="AA190">
        <v>5</v>
      </c>
      <c r="AB190">
        <v>5</v>
      </c>
      <c r="AC190">
        <v>16342</v>
      </c>
      <c r="AD190">
        <v>60</v>
      </c>
      <c r="AE190">
        <v>2379</v>
      </c>
      <c r="AF190">
        <v>2440</v>
      </c>
      <c r="AG190">
        <v>683</v>
      </c>
      <c r="AH190">
        <v>153</v>
      </c>
      <c r="AI190">
        <v>23663</v>
      </c>
      <c r="AJ190">
        <v>35</v>
      </c>
      <c r="AK190">
        <v>3</v>
      </c>
      <c r="AL190">
        <v>359</v>
      </c>
      <c r="AM190">
        <v>0</v>
      </c>
      <c r="AN190">
        <v>59</v>
      </c>
      <c r="AO190">
        <v>15</v>
      </c>
      <c r="AP190" t="s">
        <v>56</v>
      </c>
    </row>
    <row r="191" spans="1:42" x14ac:dyDescent="0.3">
      <c r="A191" t="s">
        <v>25</v>
      </c>
      <c r="B191">
        <v>12</v>
      </c>
      <c r="C191">
        <v>12</v>
      </c>
      <c r="D191">
        <v>59</v>
      </c>
      <c r="E191">
        <v>58</v>
      </c>
      <c r="F191">
        <v>5</v>
      </c>
      <c r="G191">
        <v>526</v>
      </c>
      <c r="H191">
        <v>173</v>
      </c>
      <c r="I191">
        <v>4</v>
      </c>
      <c r="J191">
        <v>6</v>
      </c>
      <c r="K191">
        <v>4</v>
      </c>
      <c r="L191">
        <v>4</v>
      </c>
      <c r="M191">
        <v>48</v>
      </c>
      <c r="N191">
        <v>11</v>
      </c>
      <c r="O191">
        <v>1</v>
      </c>
      <c r="P191">
        <v>90</v>
      </c>
      <c r="Q191">
        <v>9</v>
      </c>
      <c r="R191">
        <v>53</v>
      </c>
      <c r="S191">
        <v>122</v>
      </c>
      <c r="T191">
        <v>136</v>
      </c>
      <c r="U191">
        <v>518</v>
      </c>
      <c r="V191">
        <v>790</v>
      </c>
      <c r="W191">
        <v>2</v>
      </c>
      <c r="X191">
        <v>790</v>
      </c>
      <c r="Y191">
        <v>398</v>
      </c>
      <c r="Z191">
        <v>2</v>
      </c>
      <c r="AA191">
        <v>4</v>
      </c>
      <c r="AB191">
        <v>3</v>
      </c>
      <c r="AC191">
        <v>19664</v>
      </c>
      <c r="AD191">
        <v>74</v>
      </c>
      <c r="AE191">
        <v>2312</v>
      </c>
      <c r="AF191">
        <v>2933</v>
      </c>
      <c r="AG191">
        <v>732</v>
      </c>
      <c r="AH191">
        <v>240</v>
      </c>
      <c r="AI191">
        <v>27362</v>
      </c>
      <c r="AJ191">
        <v>33</v>
      </c>
      <c r="AK191">
        <v>4</v>
      </c>
      <c r="AL191">
        <v>413</v>
      </c>
      <c r="AM191">
        <v>1</v>
      </c>
      <c r="AN191">
        <v>54</v>
      </c>
      <c r="AO191">
        <v>27</v>
      </c>
      <c r="AP191" t="s">
        <v>56</v>
      </c>
    </row>
    <row r="192" spans="1:42" x14ac:dyDescent="0.3">
      <c r="A192" t="s">
        <v>48</v>
      </c>
      <c r="B192">
        <v>12</v>
      </c>
      <c r="C192">
        <v>15</v>
      </c>
      <c r="D192">
        <v>42</v>
      </c>
      <c r="E192">
        <v>60</v>
      </c>
      <c r="F192">
        <v>1</v>
      </c>
      <c r="G192">
        <v>441</v>
      </c>
      <c r="H192">
        <v>136</v>
      </c>
      <c r="I192">
        <v>14</v>
      </c>
      <c r="J192">
        <v>6</v>
      </c>
      <c r="K192">
        <v>5</v>
      </c>
      <c r="L192">
        <v>3</v>
      </c>
      <c r="M192">
        <v>35</v>
      </c>
      <c r="N192">
        <v>7</v>
      </c>
      <c r="O192">
        <v>3</v>
      </c>
      <c r="P192">
        <v>82</v>
      </c>
      <c r="Q192">
        <v>9</v>
      </c>
      <c r="R192">
        <v>52</v>
      </c>
      <c r="S192">
        <v>119</v>
      </c>
      <c r="T192">
        <v>134</v>
      </c>
      <c r="U192">
        <v>679</v>
      </c>
      <c r="V192">
        <v>638</v>
      </c>
      <c r="W192">
        <v>2</v>
      </c>
      <c r="X192">
        <v>1058</v>
      </c>
      <c r="Y192">
        <v>559</v>
      </c>
      <c r="Z192">
        <v>5</v>
      </c>
      <c r="AA192">
        <v>2</v>
      </c>
      <c r="AB192">
        <v>2</v>
      </c>
      <c r="AC192">
        <v>18169</v>
      </c>
      <c r="AD192">
        <v>46</v>
      </c>
      <c r="AE192">
        <v>2416</v>
      </c>
      <c r="AF192">
        <v>2796</v>
      </c>
      <c r="AG192">
        <v>725</v>
      </c>
      <c r="AH192">
        <v>163</v>
      </c>
      <c r="AI192">
        <v>25989</v>
      </c>
      <c r="AJ192">
        <v>31</v>
      </c>
      <c r="AK192">
        <v>2</v>
      </c>
      <c r="AL192">
        <v>465</v>
      </c>
      <c r="AM192">
        <v>0</v>
      </c>
      <c r="AN192">
        <v>85</v>
      </c>
      <c r="AO192">
        <v>34</v>
      </c>
      <c r="AP192" t="s">
        <v>56</v>
      </c>
    </row>
    <row r="193" spans="1:42" x14ac:dyDescent="0.3">
      <c r="A193" t="s">
        <v>8</v>
      </c>
      <c r="B193">
        <v>12</v>
      </c>
      <c r="C193">
        <v>17</v>
      </c>
      <c r="D193">
        <v>40</v>
      </c>
      <c r="E193">
        <v>73</v>
      </c>
      <c r="F193">
        <v>3</v>
      </c>
      <c r="G193">
        <v>446</v>
      </c>
      <c r="H193">
        <v>140</v>
      </c>
      <c r="I193">
        <v>9</v>
      </c>
      <c r="J193">
        <v>5</v>
      </c>
      <c r="K193">
        <v>6</v>
      </c>
      <c r="L193">
        <v>1</v>
      </c>
      <c r="M193">
        <v>37</v>
      </c>
      <c r="N193">
        <v>3</v>
      </c>
      <c r="O193">
        <v>0</v>
      </c>
      <c r="P193">
        <v>52</v>
      </c>
      <c r="Q193">
        <v>11</v>
      </c>
      <c r="R193">
        <v>50</v>
      </c>
      <c r="S193">
        <v>121</v>
      </c>
      <c r="T193">
        <v>111</v>
      </c>
      <c r="U193">
        <v>764</v>
      </c>
      <c r="V193">
        <v>794</v>
      </c>
      <c r="W193">
        <v>1</v>
      </c>
      <c r="X193">
        <v>931</v>
      </c>
      <c r="Y193">
        <v>394</v>
      </c>
      <c r="Z193">
        <v>2</v>
      </c>
      <c r="AA193">
        <v>8</v>
      </c>
      <c r="AB193">
        <v>4</v>
      </c>
      <c r="AC193">
        <v>14530</v>
      </c>
      <c r="AD193">
        <v>29</v>
      </c>
      <c r="AE193">
        <v>2939</v>
      </c>
      <c r="AF193">
        <v>2164</v>
      </c>
      <c r="AG193">
        <v>704</v>
      </c>
      <c r="AH193">
        <v>164</v>
      </c>
      <c r="AI193">
        <v>22363</v>
      </c>
      <c r="AJ193">
        <v>31</v>
      </c>
      <c r="AK193">
        <v>2</v>
      </c>
      <c r="AL193">
        <v>391</v>
      </c>
      <c r="AM193">
        <v>3</v>
      </c>
      <c r="AN193">
        <v>67</v>
      </c>
      <c r="AO193">
        <v>66</v>
      </c>
      <c r="AP193" t="s">
        <v>56</v>
      </c>
    </row>
    <row r="194" spans="1:42" x14ac:dyDescent="0.3">
      <c r="A194" t="s">
        <v>57</v>
      </c>
      <c r="B194">
        <v>11</v>
      </c>
      <c r="C194">
        <v>18</v>
      </c>
      <c r="D194">
        <v>45</v>
      </c>
      <c r="E194">
        <v>53</v>
      </c>
      <c r="F194">
        <v>1</v>
      </c>
      <c r="G194">
        <v>464</v>
      </c>
      <c r="H194">
        <v>143</v>
      </c>
      <c r="I194">
        <v>8</v>
      </c>
      <c r="J194">
        <v>11</v>
      </c>
      <c r="K194">
        <v>3</v>
      </c>
      <c r="L194">
        <v>0</v>
      </c>
      <c r="M194">
        <v>39</v>
      </c>
      <c r="N194">
        <v>6</v>
      </c>
      <c r="O194">
        <v>0</v>
      </c>
      <c r="P194">
        <v>66</v>
      </c>
      <c r="Q194">
        <v>7</v>
      </c>
      <c r="R194">
        <v>67</v>
      </c>
      <c r="S194">
        <v>90</v>
      </c>
      <c r="T194">
        <v>106</v>
      </c>
      <c r="U194">
        <v>640</v>
      </c>
      <c r="V194">
        <v>709</v>
      </c>
      <c r="W194">
        <v>1</v>
      </c>
      <c r="X194">
        <v>951</v>
      </c>
      <c r="Y194">
        <v>526</v>
      </c>
      <c r="Z194">
        <v>0</v>
      </c>
      <c r="AA194">
        <v>6</v>
      </c>
      <c r="AB194">
        <v>4</v>
      </c>
      <c r="AC194">
        <v>17270</v>
      </c>
      <c r="AD194">
        <v>33</v>
      </c>
      <c r="AE194">
        <v>2484</v>
      </c>
      <c r="AF194">
        <v>2541</v>
      </c>
      <c r="AG194">
        <v>749</v>
      </c>
      <c r="AH194">
        <v>221</v>
      </c>
      <c r="AI194">
        <v>25291</v>
      </c>
      <c r="AJ194">
        <v>25</v>
      </c>
      <c r="AK194">
        <v>2</v>
      </c>
      <c r="AL194">
        <v>410</v>
      </c>
      <c r="AM194">
        <v>2</v>
      </c>
      <c r="AN194">
        <v>58</v>
      </c>
      <c r="AO194">
        <v>12</v>
      </c>
      <c r="AP194" t="s">
        <v>56</v>
      </c>
    </row>
    <row r="195" spans="1:42" x14ac:dyDescent="0.3">
      <c r="A195" t="s">
        <v>53</v>
      </c>
      <c r="B195">
        <v>11</v>
      </c>
      <c r="C195">
        <v>18</v>
      </c>
      <c r="D195">
        <v>39</v>
      </c>
      <c r="E195">
        <v>60</v>
      </c>
      <c r="F195">
        <v>2</v>
      </c>
      <c r="G195">
        <v>469</v>
      </c>
      <c r="H195">
        <v>153</v>
      </c>
      <c r="I195">
        <v>12</v>
      </c>
      <c r="J195">
        <v>7</v>
      </c>
      <c r="K195">
        <v>4</v>
      </c>
      <c r="L195">
        <v>1</v>
      </c>
      <c r="M195">
        <v>33</v>
      </c>
      <c r="N195">
        <v>6</v>
      </c>
      <c r="O195">
        <v>0</v>
      </c>
      <c r="P195">
        <v>81</v>
      </c>
      <c r="Q195">
        <v>8</v>
      </c>
      <c r="R195">
        <v>51</v>
      </c>
      <c r="S195">
        <v>122</v>
      </c>
      <c r="T195">
        <v>176</v>
      </c>
      <c r="U195">
        <v>698</v>
      </c>
      <c r="V195">
        <v>649</v>
      </c>
      <c r="W195">
        <v>3</v>
      </c>
      <c r="X195">
        <v>963</v>
      </c>
      <c r="Y195">
        <v>506</v>
      </c>
      <c r="Z195">
        <v>4</v>
      </c>
      <c r="AA195">
        <v>4</v>
      </c>
      <c r="AB195">
        <v>4</v>
      </c>
      <c r="AC195">
        <v>13785</v>
      </c>
      <c r="AD195">
        <v>16</v>
      </c>
      <c r="AE195">
        <v>2759</v>
      </c>
      <c r="AF195">
        <v>2185</v>
      </c>
      <c r="AG195">
        <v>969</v>
      </c>
      <c r="AH195">
        <v>219</v>
      </c>
      <c r="AI195">
        <v>21861</v>
      </c>
      <c r="AJ195">
        <v>36</v>
      </c>
      <c r="AK195">
        <v>4</v>
      </c>
      <c r="AL195">
        <v>467</v>
      </c>
      <c r="AM195">
        <v>0</v>
      </c>
      <c r="AN195">
        <v>43</v>
      </c>
      <c r="AO195">
        <v>5</v>
      </c>
      <c r="AP195" t="s">
        <v>56</v>
      </c>
    </row>
    <row r="196" spans="1:42" x14ac:dyDescent="0.3">
      <c r="A196" t="s">
        <v>7</v>
      </c>
      <c r="B196">
        <v>11</v>
      </c>
      <c r="C196">
        <v>13</v>
      </c>
      <c r="D196">
        <v>59</v>
      </c>
      <c r="E196">
        <v>44</v>
      </c>
      <c r="F196">
        <v>5</v>
      </c>
      <c r="G196">
        <v>491</v>
      </c>
      <c r="H196">
        <v>175</v>
      </c>
      <c r="I196">
        <v>18</v>
      </c>
      <c r="J196">
        <v>10</v>
      </c>
      <c r="K196">
        <v>4</v>
      </c>
      <c r="L196">
        <v>0</v>
      </c>
      <c r="M196">
        <v>53</v>
      </c>
      <c r="N196">
        <v>6</v>
      </c>
      <c r="O196">
        <v>2</v>
      </c>
      <c r="P196">
        <v>55</v>
      </c>
      <c r="Q196">
        <v>10</v>
      </c>
      <c r="R196">
        <v>55</v>
      </c>
      <c r="S196">
        <v>127</v>
      </c>
      <c r="T196">
        <v>160</v>
      </c>
      <c r="U196">
        <v>511</v>
      </c>
      <c r="V196">
        <v>730</v>
      </c>
      <c r="W196">
        <v>3</v>
      </c>
      <c r="X196">
        <v>994</v>
      </c>
      <c r="Y196">
        <v>489</v>
      </c>
      <c r="Z196">
        <v>1</v>
      </c>
      <c r="AA196">
        <v>6</v>
      </c>
      <c r="AB196">
        <v>5</v>
      </c>
      <c r="AC196">
        <v>17947</v>
      </c>
      <c r="AD196">
        <v>57</v>
      </c>
      <c r="AE196">
        <v>2742</v>
      </c>
      <c r="AF196">
        <v>2699</v>
      </c>
      <c r="AG196">
        <v>782</v>
      </c>
      <c r="AH196">
        <v>218</v>
      </c>
      <c r="AI196">
        <v>25741</v>
      </c>
      <c r="AJ196">
        <v>49</v>
      </c>
      <c r="AK196">
        <v>4</v>
      </c>
      <c r="AL196">
        <v>453</v>
      </c>
      <c r="AM196">
        <v>0</v>
      </c>
      <c r="AN196">
        <v>53</v>
      </c>
      <c r="AO196">
        <v>14</v>
      </c>
      <c r="AP196" t="s">
        <v>56</v>
      </c>
    </row>
    <row r="197" spans="1:42" x14ac:dyDescent="0.3">
      <c r="A197" t="s">
        <v>35</v>
      </c>
      <c r="B197">
        <v>10</v>
      </c>
      <c r="C197">
        <v>15</v>
      </c>
      <c r="D197">
        <v>34</v>
      </c>
      <c r="E197">
        <v>65</v>
      </c>
      <c r="F197">
        <v>3</v>
      </c>
      <c r="G197">
        <v>388</v>
      </c>
      <c r="H197">
        <v>107</v>
      </c>
      <c r="I197">
        <v>10</v>
      </c>
      <c r="J197">
        <v>12</v>
      </c>
      <c r="K197">
        <v>1</v>
      </c>
      <c r="L197">
        <v>1</v>
      </c>
      <c r="M197">
        <v>31</v>
      </c>
      <c r="N197">
        <v>3</v>
      </c>
      <c r="O197">
        <v>0</v>
      </c>
      <c r="P197">
        <v>68</v>
      </c>
      <c r="Q197">
        <v>11</v>
      </c>
      <c r="R197">
        <v>48</v>
      </c>
      <c r="S197">
        <v>109</v>
      </c>
      <c r="T197">
        <v>172</v>
      </c>
      <c r="U197">
        <v>721</v>
      </c>
      <c r="V197">
        <v>642</v>
      </c>
      <c r="W197">
        <v>4</v>
      </c>
      <c r="X197">
        <v>992</v>
      </c>
      <c r="Y197">
        <v>547</v>
      </c>
      <c r="Z197">
        <v>3</v>
      </c>
      <c r="AA197">
        <v>6</v>
      </c>
      <c r="AB197">
        <v>5</v>
      </c>
      <c r="AC197">
        <v>12262</v>
      </c>
      <c r="AD197">
        <v>29</v>
      </c>
      <c r="AE197">
        <v>2661</v>
      </c>
      <c r="AF197">
        <v>1638</v>
      </c>
      <c r="AG197">
        <v>847</v>
      </c>
      <c r="AH197">
        <v>188</v>
      </c>
      <c r="AI197">
        <v>19822</v>
      </c>
      <c r="AJ197">
        <v>28</v>
      </c>
      <c r="AK197">
        <v>5</v>
      </c>
      <c r="AL197">
        <v>480</v>
      </c>
      <c r="AM197">
        <v>0</v>
      </c>
      <c r="AN197">
        <v>54</v>
      </c>
      <c r="AO197">
        <v>14</v>
      </c>
      <c r="AP197" t="s">
        <v>56</v>
      </c>
    </row>
    <row r="198" spans="1:42" x14ac:dyDescent="0.3">
      <c r="A198" t="s">
        <v>10</v>
      </c>
      <c r="B198">
        <v>9</v>
      </c>
      <c r="C198">
        <v>19</v>
      </c>
      <c r="D198">
        <v>44</v>
      </c>
      <c r="E198">
        <v>60</v>
      </c>
      <c r="F198">
        <v>5</v>
      </c>
      <c r="G198">
        <v>397</v>
      </c>
      <c r="H198">
        <v>151</v>
      </c>
      <c r="I198">
        <v>6</v>
      </c>
      <c r="J198">
        <v>12</v>
      </c>
      <c r="K198">
        <v>3</v>
      </c>
      <c r="L198">
        <v>1</v>
      </c>
      <c r="M198">
        <v>38</v>
      </c>
      <c r="N198">
        <v>6</v>
      </c>
      <c r="O198">
        <v>4</v>
      </c>
      <c r="P198">
        <v>59</v>
      </c>
      <c r="Q198">
        <v>8</v>
      </c>
      <c r="R198">
        <v>65</v>
      </c>
      <c r="S198">
        <v>115</v>
      </c>
      <c r="T198">
        <v>155</v>
      </c>
      <c r="U198">
        <v>646</v>
      </c>
      <c r="V198">
        <v>793</v>
      </c>
      <c r="W198">
        <v>4</v>
      </c>
      <c r="X198">
        <v>939</v>
      </c>
      <c r="Y198">
        <v>486</v>
      </c>
      <c r="Z198">
        <v>2</v>
      </c>
      <c r="AA198">
        <v>5</v>
      </c>
      <c r="AB198">
        <v>4</v>
      </c>
      <c r="AC198">
        <v>15118</v>
      </c>
      <c r="AD198">
        <v>28</v>
      </c>
      <c r="AE198">
        <v>2578</v>
      </c>
      <c r="AF198">
        <v>2357</v>
      </c>
      <c r="AG198">
        <v>775</v>
      </c>
      <c r="AH198">
        <v>161</v>
      </c>
      <c r="AI198">
        <v>22993</v>
      </c>
      <c r="AJ198">
        <v>26</v>
      </c>
      <c r="AK198">
        <v>2</v>
      </c>
      <c r="AL198">
        <v>435</v>
      </c>
      <c r="AM198">
        <v>1</v>
      </c>
      <c r="AN198">
        <v>70</v>
      </c>
      <c r="AO198">
        <v>31</v>
      </c>
      <c r="AP198" t="s">
        <v>56</v>
      </c>
    </row>
    <row r="199" spans="1:42" x14ac:dyDescent="0.3">
      <c r="A199" t="s">
        <v>47</v>
      </c>
      <c r="B199">
        <v>9</v>
      </c>
      <c r="C199">
        <v>22</v>
      </c>
      <c r="D199">
        <v>39</v>
      </c>
      <c r="E199">
        <v>61</v>
      </c>
      <c r="F199">
        <v>3</v>
      </c>
      <c r="G199">
        <v>418</v>
      </c>
      <c r="H199">
        <v>129</v>
      </c>
      <c r="I199">
        <v>11</v>
      </c>
      <c r="J199">
        <v>3</v>
      </c>
      <c r="K199">
        <v>1</v>
      </c>
      <c r="L199">
        <v>0</v>
      </c>
      <c r="M199">
        <v>33</v>
      </c>
      <c r="N199">
        <v>6</v>
      </c>
      <c r="O199">
        <v>0</v>
      </c>
      <c r="P199">
        <v>93</v>
      </c>
      <c r="Q199">
        <v>5</v>
      </c>
      <c r="R199">
        <v>67</v>
      </c>
      <c r="S199">
        <v>103</v>
      </c>
      <c r="T199">
        <v>108</v>
      </c>
      <c r="U199">
        <v>473</v>
      </c>
      <c r="V199">
        <v>608</v>
      </c>
      <c r="W199">
        <v>3</v>
      </c>
      <c r="X199">
        <v>1212</v>
      </c>
      <c r="Y199">
        <v>708</v>
      </c>
      <c r="Z199">
        <v>2</v>
      </c>
      <c r="AA199">
        <v>10</v>
      </c>
      <c r="AB199">
        <v>9</v>
      </c>
      <c r="AC199">
        <v>14483</v>
      </c>
      <c r="AD199">
        <v>17</v>
      </c>
      <c r="AE199">
        <v>2722</v>
      </c>
      <c r="AF199">
        <v>2124</v>
      </c>
      <c r="AG199">
        <v>818</v>
      </c>
      <c r="AH199">
        <v>188</v>
      </c>
      <c r="AI199">
        <v>21936</v>
      </c>
      <c r="AJ199">
        <v>30</v>
      </c>
      <c r="AK199">
        <v>4</v>
      </c>
      <c r="AL199">
        <v>426</v>
      </c>
      <c r="AM199">
        <v>0</v>
      </c>
      <c r="AN199">
        <v>63</v>
      </c>
      <c r="AO199">
        <v>20</v>
      </c>
      <c r="AP199" t="s">
        <v>56</v>
      </c>
    </row>
    <row r="200" spans="1:42" x14ac:dyDescent="0.3">
      <c r="A200" t="s">
        <v>29</v>
      </c>
      <c r="B200">
        <v>9</v>
      </c>
      <c r="C200">
        <v>17</v>
      </c>
      <c r="D200">
        <v>48</v>
      </c>
      <c r="E200">
        <v>64</v>
      </c>
      <c r="F200">
        <v>2</v>
      </c>
      <c r="G200">
        <v>439</v>
      </c>
      <c r="H200">
        <v>141</v>
      </c>
      <c r="I200">
        <v>10</v>
      </c>
      <c r="J200">
        <v>2</v>
      </c>
      <c r="K200">
        <v>3</v>
      </c>
      <c r="L200">
        <v>4</v>
      </c>
      <c r="M200">
        <v>40</v>
      </c>
      <c r="N200">
        <v>8</v>
      </c>
      <c r="O200">
        <v>2</v>
      </c>
      <c r="P200">
        <v>88</v>
      </c>
      <c r="Q200">
        <v>7</v>
      </c>
      <c r="R200">
        <v>62</v>
      </c>
      <c r="S200">
        <v>156</v>
      </c>
      <c r="T200">
        <v>144</v>
      </c>
      <c r="U200">
        <v>571</v>
      </c>
      <c r="V200">
        <v>767</v>
      </c>
      <c r="W200">
        <v>4</v>
      </c>
      <c r="X200">
        <v>1277</v>
      </c>
      <c r="Y200">
        <v>616</v>
      </c>
      <c r="Z200">
        <v>1</v>
      </c>
      <c r="AA200">
        <v>8</v>
      </c>
      <c r="AB200">
        <v>7</v>
      </c>
      <c r="AC200">
        <v>12799</v>
      </c>
      <c r="AD200">
        <v>57</v>
      </c>
      <c r="AE200">
        <v>2635</v>
      </c>
      <c r="AF200">
        <v>1841</v>
      </c>
      <c r="AG200">
        <v>589</v>
      </c>
      <c r="AH200">
        <v>153</v>
      </c>
      <c r="AI200">
        <v>20339</v>
      </c>
      <c r="AJ200">
        <v>29</v>
      </c>
      <c r="AK200">
        <v>7</v>
      </c>
      <c r="AL200">
        <v>376</v>
      </c>
      <c r="AM200">
        <v>0</v>
      </c>
      <c r="AN200">
        <v>64</v>
      </c>
      <c r="AO200">
        <v>19</v>
      </c>
      <c r="AP200" t="s">
        <v>56</v>
      </c>
    </row>
    <row r="201" spans="1:42" x14ac:dyDescent="0.3">
      <c r="A201" t="s">
        <v>6</v>
      </c>
      <c r="B201">
        <v>3</v>
      </c>
      <c r="C201">
        <v>27</v>
      </c>
      <c r="D201">
        <v>27</v>
      </c>
      <c r="E201">
        <v>75</v>
      </c>
      <c r="F201">
        <v>3</v>
      </c>
      <c r="G201">
        <v>380</v>
      </c>
      <c r="H201">
        <v>110</v>
      </c>
      <c r="I201">
        <v>7</v>
      </c>
      <c r="J201">
        <v>6</v>
      </c>
      <c r="K201">
        <v>2</v>
      </c>
      <c r="L201">
        <v>0</v>
      </c>
      <c r="M201">
        <v>21</v>
      </c>
      <c r="N201">
        <v>6</v>
      </c>
      <c r="O201">
        <v>1</v>
      </c>
      <c r="P201">
        <v>42</v>
      </c>
      <c r="Q201">
        <v>6</v>
      </c>
      <c r="R201">
        <v>76</v>
      </c>
      <c r="S201">
        <v>116</v>
      </c>
      <c r="T201">
        <v>111</v>
      </c>
      <c r="U201">
        <v>768</v>
      </c>
      <c r="V201">
        <v>731</v>
      </c>
      <c r="W201">
        <v>2</v>
      </c>
      <c r="X201">
        <v>973</v>
      </c>
      <c r="Y201">
        <v>499</v>
      </c>
      <c r="Z201">
        <v>4</v>
      </c>
      <c r="AA201">
        <v>5</v>
      </c>
      <c r="AB201">
        <v>3</v>
      </c>
      <c r="AC201">
        <v>15308</v>
      </c>
      <c r="AD201">
        <v>12</v>
      </c>
      <c r="AE201">
        <v>2507</v>
      </c>
      <c r="AF201">
        <v>2269</v>
      </c>
      <c r="AG201">
        <v>796</v>
      </c>
      <c r="AH201">
        <v>167</v>
      </c>
      <c r="AI201">
        <v>23234</v>
      </c>
      <c r="AJ201">
        <v>20</v>
      </c>
      <c r="AK201">
        <v>5</v>
      </c>
      <c r="AL201">
        <v>338</v>
      </c>
      <c r="AM201">
        <v>1</v>
      </c>
      <c r="AN201">
        <v>66</v>
      </c>
      <c r="AO201">
        <v>28</v>
      </c>
      <c r="AP201" t="s">
        <v>56</v>
      </c>
    </row>
    <row r="202" spans="1:42" x14ac:dyDescent="0.3">
      <c r="A202" t="s">
        <v>25</v>
      </c>
      <c r="B202">
        <v>30</v>
      </c>
      <c r="C202">
        <v>5</v>
      </c>
      <c r="D202">
        <v>85</v>
      </c>
      <c r="E202">
        <v>72</v>
      </c>
      <c r="F202">
        <v>0</v>
      </c>
      <c r="G202">
        <v>580</v>
      </c>
      <c r="H202">
        <v>204</v>
      </c>
      <c r="I202">
        <v>17</v>
      </c>
      <c r="J202">
        <v>8</v>
      </c>
      <c r="K202">
        <v>2</v>
      </c>
      <c r="L202">
        <v>3</v>
      </c>
      <c r="M202">
        <v>73</v>
      </c>
      <c r="N202">
        <v>12</v>
      </c>
      <c r="O202">
        <v>7</v>
      </c>
      <c r="P202">
        <v>64</v>
      </c>
      <c r="Q202">
        <v>16</v>
      </c>
      <c r="R202">
        <v>33</v>
      </c>
      <c r="S202">
        <v>69</v>
      </c>
      <c r="T202">
        <v>78</v>
      </c>
      <c r="U202">
        <v>510</v>
      </c>
      <c r="V202">
        <v>652</v>
      </c>
      <c r="W202">
        <v>0</v>
      </c>
      <c r="X202">
        <v>839</v>
      </c>
      <c r="Y202">
        <v>500</v>
      </c>
      <c r="Z202">
        <v>1</v>
      </c>
      <c r="AA202">
        <v>2</v>
      </c>
      <c r="AB202">
        <v>2</v>
      </c>
      <c r="AC202">
        <v>20125</v>
      </c>
      <c r="AD202">
        <v>103</v>
      </c>
      <c r="AE202">
        <v>2399</v>
      </c>
      <c r="AF202">
        <v>2967</v>
      </c>
      <c r="AG202">
        <v>688</v>
      </c>
      <c r="AH202">
        <v>218</v>
      </c>
      <c r="AI202">
        <v>27658</v>
      </c>
      <c r="AJ202">
        <v>32</v>
      </c>
      <c r="AK202">
        <v>3</v>
      </c>
      <c r="AL202">
        <v>436</v>
      </c>
      <c r="AM202">
        <v>0</v>
      </c>
      <c r="AN202">
        <v>38</v>
      </c>
      <c r="AO202">
        <v>18</v>
      </c>
      <c r="AP202" t="s">
        <v>58</v>
      </c>
    </row>
    <row r="203" spans="1:42" x14ac:dyDescent="0.3">
      <c r="A203" t="s">
        <v>21</v>
      </c>
      <c r="B203">
        <v>26</v>
      </c>
      <c r="C203">
        <v>4</v>
      </c>
      <c r="D203">
        <v>86</v>
      </c>
      <c r="E203">
        <v>62</v>
      </c>
      <c r="F203">
        <v>0</v>
      </c>
      <c r="G203">
        <v>669</v>
      </c>
      <c r="H203">
        <v>257</v>
      </c>
      <c r="I203">
        <v>22</v>
      </c>
      <c r="J203">
        <v>10</v>
      </c>
      <c r="K203">
        <v>7</v>
      </c>
      <c r="L203">
        <v>0</v>
      </c>
      <c r="M203">
        <v>74</v>
      </c>
      <c r="N203">
        <v>12</v>
      </c>
      <c r="O203">
        <v>3</v>
      </c>
      <c r="P203">
        <v>74</v>
      </c>
      <c r="Q203">
        <v>17</v>
      </c>
      <c r="R203">
        <v>26</v>
      </c>
      <c r="S203">
        <v>85</v>
      </c>
      <c r="T203">
        <v>99</v>
      </c>
      <c r="U203">
        <v>314</v>
      </c>
      <c r="V203">
        <v>661</v>
      </c>
      <c r="W203">
        <v>1</v>
      </c>
      <c r="X203">
        <v>1003</v>
      </c>
      <c r="Y203">
        <v>526</v>
      </c>
      <c r="Z203">
        <v>1</v>
      </c>
      <c r="AA203">
        <v>2</v>
      </c>
      <c r="AB203">
        <v>2</v>
      </c>
      <c r="AC203">
        <v>20150</v>
      </c>
      <c r="AD203">
        <v>45</v>
      </c>
      <c r="AE203">
        <v>2662</v>
      </c>
      <c r="AF203">
        <v>3130</v>
      </c>
      <c r="AG203">
        <v>761</v>
      </c>
      <c r="AH203">
        <v>273</v>
      </c>
      <c r="AI203">
        <v>28150</v>
      </c>
      <c r="AJ203">
        <v>41</v>
      </c>
      <c r="AK203">
        <v>1</v>
      </c>
      <c r="AL203">
        <v>484</v>
      </c>
      <c r="AM203">
        <v>0</v>
      </c>
      <c r="AN203">
        <v>21</v>
      </c>
      <c r="AO203">
        <v>11</v>
      </c>
      <c r="AP203" t="s">
        <v>58</v>
      </c>
    </row>
    <row r="204" spans="1:42" x14ac:dyDescent="0.3">
      <c r="A204" t="s">
        <v>5</v>
      </c>
      <c r="B204">
        <v>23</v>
      </c>
      <c r="C204">
        <v>9</v>
      </c>
      <c r="D204">
        <v>77</v>
      </c>
      <c r="E204">
        <v>68</v>
      </c>
      <c r="F204">
        <v>3</v>
      </c>
      <c r="G204">
        <v>566</v>
      </c>
      <c r="H204">
        <v>201</v>
      </c>
      <c r="I204">
        <v>17</v>
      </c>
      <c r="J204">
        <v>17</v>
      </c>
      <c r="K204">
        <v>4</v>
      </c>
      <c r="L204">
        <v>2</v>
      </c>
      <c r="M204">
        <v>70</v>
      </c>
      <c r="N204">
        <v>7</v>
      </c>
      <c r="O204">
        <v>2</v>
      </c>
      <c r="P204">
        <v>95</v>
      </c>
      <c r="Q204">
        <v>13</v>
      </c>
      <c r="R204">
        <v>44</v>
      </c>
      <c r="S204">
        <v>124</v>
      </c>
      <c r="T204">
        <v>95</v>
      </c>
      <c r="U204">
        <v>536</v>
      </c>
      <c r="V204">
        <v>673</v>
      </c>
      <c r="W204">
        <v>5</v>
      </c>
      <c r="X204">
        <v>838</v>
      </c>
      <c r="Y204">
        <v>484</v>
      </c>
      <c r="Z204">
        <v>1</v>
      </c>
      <c r="AA204">
        <v>10</v>
      </c>
      <c r="AB204">
        <v>10</v>
      </c>
      <c r="AC204">
        <v>21394</v>
      </c>
      <c r="AD204">
        <v>129</v>
      </c>
      <c r="AE204">
        <v>1979</v>
      </c>
      <c r="AF204">
        <v>2835</v>
      </c>
      <c r="AG204">
        <v>697</v>
      </c>
      <c r="AH204">
        <v>227</v>
      </c>
      <c r="AI204">
        <v>28931</v>
      </c>
      <c r="AJ204">
        <v>41</v>
      </c>
      <c r="AK204">
        <v>1</v>
      </c>
      <c r="AL204">
        <v>465</v>
      </c>
      <c r="AM204">
        <v>0</v>
      </c>
      <c r="AN204">
        <v>36</v>
      </c>
      <c r="AO204">
        <v>10</v>
      </c>
      <c r="AP204" t="s">
        <v>58</v>
      </c>
    </row>
    <row r="205" spans="1:42" x14ac:dyDescent="0.3">
      <c r="A205" t="s">
        <v>26</v>
      </c>
      <c r="B205">
        <v>23</v>
      </c>
      <c r="C205">
        <v>6</v>
      </c>
      <c r="D205">
        <v>80</v>
      </c>
      <c r="E205">
        <v>71</v>
      </c>
      <c r="F205">
        <v>4</v>
      </c>
      <c r="G205">
        <v>633</v>
      </c>
      <c r="H205">
        <v>216</v>
      </c>
      <c r="I205">
        <v>20</v>
      </c>
      <c r="J205">
        <v>8</v>
      </c>
      <c r="K205">
        <v>7</v>
      </c>
      <c r="L205">
        <v>2</v>
      </c>
      <c r="M205">
        <v>73</v>
      </c>
      <c r="N205">
        <v>7</v>
      </c>
      <c r="O205">
        <v>6</v>
      </c>
      <c r="P205">
        <v>89</v>
      </c>
      <c r="Q205">
        <v>12</v>
      </c>
      <c r="R205">
        <v>39</v>
      </c>
      <c r="S205">
        <v>64</v>
      </c>
      <c r="T205">
        <v>66</v>
      </c>
      <c r="U205">
        <v>504</v>
      </c>
      <c r="V205">
        <v>643</v>
      </c>
      <c r="W205">
        <v>0</v>
      </c>
      <c r="X205">
        <v>905</v>
      </c>
      <c r="Y205">
        <v>544</v>
      </c>
      <c r="Z205">
        <v>1</v>
      </c>
      <c r="AA205">
        <v>5</v>
      </c>
      <c r="AB205">
        <v>2</v>
      </c>
      <c r="AC205">
        <v>22706</v>
      </c>
      <c r="AD205">
        <v>124</v>
      </c>
      <c r="AE205">
        <v>1997</v>
      </c>
      <c r="AF205">
        <v>3534</v>
      </c>
      <c r="AG205">
        <v>801</v>
      </c>
      <c r="AH205">
        <v>280</v>
      </c>
      <c r="AI205">
        <v>30363</v>
      </c>
      <c r="AJ205">
        <v>48</v>
      </c>
      <c r="AK205">
        <v>4</v>
      </c>
      <c r="AL205">
        <v>465</v>
      </c>
      <c r="AM205">
        <v>2</v>
      </c>
      <c r="AN205">
        <v>26</v>
      </c>
      <c r="AO205">
        <v>20</v>
      </c>
      <c r="AP205" t="s">
        <v>58</v>
      </c>
    </row>
    <row r="206" spans="1:42" x14ac:dyDescent="0.3">
      <c r="A206" t="s">
        <v>2</v>
      </c>
      <c r="B206">
        <v>22</v>
      </c>
      <c r="C206">
        <v>6</v>
      </c>
      <c r="D206">
        <v>78</v>
      </c>
      <c r="E206">
        <v>54</v>
      </c>
      <c r="F206">
        <v>0</v>
      </c>
      <c r="G206">
        <v>640</v>
      </c>
      <c r="H206">
        <v>236</v>
      </c>
      <c r="I206">
        <v>18</v>
      </c>
      <c r="J206">
        <v>12</v>
      </c>
      <c r="K206">
        <v>7</v>
      </c>
      <c r="L206">
        <v>3</v>
      </c>
      <c r="M206">
        <v>65</v>
      </c>
      <c r="N206">
        <v>13</v>
      </c>
      <c r="O206">
        <v>3</v>
      </c>
      <c r="P206">
        <v>77</v>
      </c>
      <c r="Q206">
        <v>12</v>
      </c>
      <c r="R206">
        <v>42</v>
      </c>
      <c r="S206">
        <v>73</v>
      </c>
      <c r="T206">
        <v>65</v>
      </c>
      <c r="U206">
        <v>410</v>
      </c>
      <c r="V206">
        <v>719</v>
      </c>
      <c r="W206">
        <v>2</v>
      </c>
      <c r="X206">
        <v>877</v>
      </c>
      <c r="Y206">
        <v>451</v>
      </c>
      <c r="Z206">
        <v>0</v>
      </c>
      <c r="AA206">
        <v>5</v>
      </c>
      <c r="AB206">
        <v>3</v>
      </c>
      <c r="AC206">
        <v>22290</v>
      </c>
      <c r="AD206">
        <v>57</v>
      </c>
      <c r="AE206">
        <v>2565</v>
      </c>
      <c r="AF206">
        <v>3291</v>
      </c>
      <c r="AG206">
        <v>812</v>
      </c>
      <c r="AH206">
        <v>249</v>
      </c>
      <c r="AI206">
        <v>30071</v>
      </c>
      <c r="AJ206">
        <v>35</v>
      </c>
      <c r="AK206">
        <v>0</v>
      </c>
      <c r="AL206">
        <v>472</v>
      </c>
      <c r="AM206">
        <v>2</v>
      </c>
      <c r="AN206">
        <v>36</v>
      </c>
      <c r="AO206">
        <v>26</v>
      </c>
      <c r="AP206" t="s">
        <v>58</v>
      </c>
    </row>
    <row r="207" spans="1:42" x14ac:dyDescent="0.3">
      <c r="A207" t="s">
        <v>22</v>
      </c>
      <c r="B207">
        <v>18</v>
      </c>
      <c r="C207">
        <v>5</v>
      </c>
      <c r="D207">
        <v>54</v>
      </c>
      <c r="E207">
        <v>78</v>
      </c>
      <c r="F207">
        <v>2</v>
      </c>
      <c r="G207">
        <v>591</v>
      </c>
      <c r="H207">
        <v>210</v>
      </c>
      <c r="I207">
        <v>19</v>
      </c>
      <c r="J207">
        <v>9</v>
      </c>
      <c r="K207">
        <v>3</v>
      </c>
      <c r="L207">
        <v>1</v>
      </c>
      <c r="M207">
        <v>47</v>
      </c>
      <c r="N207">
        <v>7</v>
      </c>
      <c r="O207">
        <v>5</v>
      </c>
      <c r="P207">
        <v>99</v>
      </c>
      <c r="Q207">
        <v>17</v>
      </c>
      <c r="R207">
        <v>29</v>
      </c>
      <c r="S207">
        <v>85</v>
      </c>
      <c r="T207">
        <v>99</v>
      </c>
      <c r="U207">
        <v>584</v>
      </c>
      <c r="V207">
        <v>690</v>
      </c>
      <c r="W207">
        <v>4</v>
      </c>
      <c r="X207">
        <v>1112</v>
      </c>
      <c r="Y207">
        <v>580</v>
      </c>
      <c r="Z207">
        <v>1</v>
      </c>
      <c r="AA207">
        <v>5</v>
      </c>
      <c r="AB207">
        <v>4</v>
      </c>
      <c r="AC207">
        <v>20245</v>
      </c>
      <c r="AD207">
        <v>99</v>
      </c>
      <c r="AE207">
        <v>2424</v>
      </c>
      <c r="AF207">
        <v>3177</v>
      </c>
      <c r="AG207">
        <v>848</v>
      </c>
      <c r="AH207">
        <v>217</v>
      </c>
      <c r="AI207">
        <v>28119</v>
      </c>
      <c r="AJ207">
        <v>50</v>
      </c>
      <c r="AK207">
        <v>1</v>
      </c>
      <c r="AL207">
        <v>389</v>
      </c>
      <c r="AM207">
        <v>1</v>
      </c>
      <c r="AN207">
        <v>32</v>
      </c>
      <c r="AO207">
        <v>4</v>
      </c>
      <c r="AP207" t="s">
        <v>58</v>
      </c>
    </row>
    <row r="208" spans="1:42" x14ac:dyDescent="0.3">
      <c r="A208" t="s">
        <v>7</v>
      </c>
      <c r="B208">
        <v>17</v>
      </c>
      <c r="C208">
        <v>11</v>
      </c>
      <c r="D208">
        <v>62</v>
      </c>
      <c r="E208">
        <v>72</v>
      </c>
      <c r="F208">
        <v>2</v>
      </c>
      <c r="G208">
        <v>502</v>
      </c>
      <c r="H208">
        <v>191</v>
      </c>
      <c r="I208">
        <v>12</v>
      </c>
      <c r="J208">
        <v>13</v>
      </c>
      <c r="K208">
        <v>3</v>
      </c>
      <c r="L208">
        <v>2</v>
      </c>
      <c r="M208">
        <v>59</v>
      </c>
      <c r="N208">
        <v>3</v>
      </c>
      <c r="O208">
        <v>2</v>
      </c>
      <c r="P208">
        <v>82</v>
      </c>
      <c r="Q208">
        <v>13</v>
      </c>
      <c r="R208">
        <v>44</v>
      </c>
      <c r="S208">
        <v>96</v>
      </c>
      <c r="T208">
        <v>149</v>
      </c>
      <c r="U208">
        <v>461</v>
      </c>
      <c r="V208">
        <v>712</v>
      </c>
      <c r="W208">
        <v>6</v>
      </c>
      <c r="X208">
        <v>1118</v>
      </c>
      <c r="Y208">
        <v>628</v>
      </c>
      <c r="Z208">
        <v>1</v>
      </c>
      <c r="AA208">
        <v>6</v>
      </c>
      <c r="AB208">
        <v>3</v>
      </c>
      <c r="AC208">
        <v>17586</v>
      </c>
      <c r="AD208">
        <v>38</v>
      </c>
      <c r="AE208">
        <v>2968</v>
      </c>
      <c r="AF208">
        <v>2744</v>
      </c>
      <c r="AG208">
        <v>767</v>
      </c>
      <c r="AH208">
        <v>196</v>
      </c>
      <c r="AI208">
        <v>25309</v>
      </c>
      <c r="AJ208">
        <v>28</v>
      </c>
      <c r="AK208">
        <v>9</v>
      </c>
      <c r="AL208">
        <v>469</v>
      </c>
      <c r="AM208">
        <v>2</v>
      </c>
      <c r="AN208">
        <v>56</v>
      </c>
      <c r="AO208">
        <v>19</v>
      </c>
      <c r="AP208" t="s">
        <v>58</v>
      </c>
    </row>
    <row r="209" spans="1:42" x14ac:dyDescent="0.3">
      <c r="A209" t="s">
        <v>57</v>
      </c>
      <c r="B209">
        <v>12</v>
      </c>
      <c r="C209">
        <v>16</v>
      </c>
      <c r="D209">
        <v>55</v>
      </c>
      <c r="E209">
        <v>52</v>
      </c>
      <c r="F209">
        <v>3</v>
      </c>
      <c r="G209">
        <v>452</v>
      </c>
      <c r="H209">
        <v>160</v>
      </c>
      <c r="I209">
        <v>19</v>
      </c>
      <c r="J209">
        <v>5</v>
      </c>
      <c r="K209">
        <v>7</v>
      </c>
      <c r="L209">
        <v>0</v>
      </c>
      <c r="M209">
        <v>51</v>
      </c>
      <c r="N209">
        <v>5</v>
      </c>
      <c r="O209">
        <v>2</v>
      </c>
      <c r="P209">
        <v>53</v>
      </c>
      <c r="Q209">
        <v>10</v>
      </c>
      <c r="R209">
        <v>67</v>
      </c>
      <c r="S209">
        <v>123</v>
      </c>
      <c r="T209">
        <v>150</v>
      </c>
      <c r="U209">
        <v>460</v>
      </c>
      <c r="V209">
        <v>604</v>
      </c>
      <c r="W209">
        <v>1</v>
      </c>
      <c r="X209">
        <v>1092</v>
      </c>
      <c r="Y209">
        <v>616</v>
      </c>
      <c r="Z209">
        <v>5</v>
      </c>
      <c r="AA209">
        <v>5</v>
      </c>
      <c r="AB209">
        <v>2</v>
      </c>
      <c r="AC209">
        <v>17152</v>
      </c>
      <c r="AD209">
        <v>51</v>
      </c>
      <c r="AE209">
        <v>2461</v>
      </c>
      <c r="AF209">
        <v>2651</v>
      </c>
      <c r="AG209">
        <v>628</v>
      </c>
      <c r="AH209">
        <v>193</v>
      </c>
      <c r="AI209">
        <v>24801</v>
      </c>
      <c r="AJ209">
        <v>31</v>
      </c>
      <c r="AK209">
        <v>4</v>
      </c>
      <c r="AL209">
        <v>439</v>
      </c>
      <c r="AM209">
        <v>2</v>
      </c>
      <c r="AN209">
        <v>36</v>
      </c>
      <c r="AO209">
        <v>21</v>
      </c>
      <c r="AP209" t="s">
        <v>58</v>
      </c>
    </row>
    <row r="210" spans="1:42" x14ac:dyDescent="0.3">
      <c r="A210" t="s">
        <v>53</v>
      </c>
      <c r="B210">
        <v>12</v>
      </c>
      <c r="C210">
        <v>21</v>
      </c>
      <c r="D210">
        <v>50</v>
      </c>
      <c r="E210">
        <v>77</v>
      </c>
      <c r="F210">
        <v>0</v>
      </c>
      <c r="G210">
        <v>439</v>
      </c>
      <c r="H210">
        <v>138</v>
      </c>
      <c r="I210">
        <v>8</v>
      </c>
      <c r="J210">
        <v>13</v>
      </c>
      <c r="K210">
        <v>4</v>
      </c>
      <c r="L210">
        <v>0</v>
      </c>
      <c r="M210">
        <v>48</v>
      </c>
      <c r="N210">
        <v>2</v>
      </c>
      <c r="O210">
        <v>0</v>
      </c>
      <c r="P210">
        <v>55</v>
      </c>
      <c r="Q210">
        <v>7</v>
      </c>
      <c r="R210">
        <v>63</v>
      </c>
      <c r="S210">
        <v>108</v>
      </c>
      <c r="T210">
        <v>125</v>
      </c>
      <c r="U210">
        <v>553</v>
      </c>
      <c r="V210">
        <v>699</v>
      </c>
      <c r="W210">
        <v>4</v>
      </c>
      <c r="X210">
        <v>1022</v>
      </c>
      <c r="Y210">
        <v>557</v>
      </c>
      <c r="Z210">
        <v>0</v>
      </c>
      <c r="AA210">
        <v>2</v>
      </c>
      <c r="AB210">
        <v>2</v>
      </c>
      <c r="AC210">
        <v>13542</v>
      </c>
      <c r="AD210">
        <v>20</v>
      </c>
      <c r="AE210">
        <v>2729</v>
      </c>
      <c r="AF210">
        <v>2108</v>
      </c>
      <c r="AG210">
        <v>872</v>
      </c>
      <c r="AH210">
        <v>203</v>
      </c>
      <c r="AI210">
        <v>21533</v>
      </c>
      <c r="AJ210">
        <v>27</v>
      </c>
      <c r="AK210">
        <v>7</v>
      </c>
      <c r="AL210">
        <v>496</v>
      </c>
      <c r="AM210">
        <v>0</v>
      </c>
      <c r="AN210">
        <v>56</v>
      </c>
      <c r="AO210">
        <v>12</v>
      </c>
      <c r="AP210" t="s">
        <v>58</v>
      </c>
    </row>
    <row r="211" spans="1:42" x14ac:dyDescent="0.3">
      <c r="A211" t="s">
        <v>55</v>
      </c>
      <c r="B211">
        <v>12</v>
      </c>
      <c r="C211">
        <v>18</v>
      </c>
      <c r="D211">
        <v>48</v>
      </c>
      <c r="E211">
        <v>72</v>
      </c>
      <c r="F211">
        <v>1</v>
      </c>
      <c r="G211">
        <v>433</v>
      </c>
      <c r="H211">
        <v>145</v>
      </c>
      <c r="I211">
        <v>8</v>
      </c>
      <c r="J211">
        <v>10</v>
      </c>
      <c r="K211">
        <v>4</v>
      </c>
      <c r="L211">
        <v>1</v>
      </c>
      <c r="M211">
        <v>39</v>
      </c>
      <c r="N211">
        <v>9</v>
      </c>
      <c r="O211">
        <v>4</v>
      </c>
      <c r="P211">
        <v>65</v>
      </c>
      <c r="Q211">
        <v>9</v>
      </c>
      <c r="R211">
        <v>63</v>
      </c>
      <c r="S211">
        <v>131</v>
      </c>
      <c r="T211">
        <v>141</v>
      </c>
      <c r="U211">
        <v>538</v>
      </c>
      <c r="V211">
        <v>677</v>
      </c>
      <c r="W211">
        <v>3</v>
      </c>
      <c r="X211">
        <v>1025</v>
      </c>
      <c r="Y211">
        <v>567</v>
      </c>
      <c r="Z211">
        <v>2</v>
      </c>
      <c r="AA211">
        <v>4</v>
      </c>
      <c r="AB211">
        <v>4</v>
      </c>
      <c r="AC211">
        <v>13671</v>
      </c>
      <c r="AD211">
        <v>25</v>
      </c>
      <c r="AE211">
        <v>2792</v>
      </c>
      <c r="AF211">
        <v>1916</v>
      </c>
      <c r="AG211">
        <v>731</v>
      </c>
      <c r="AH211">
        <v>197</v>
      </c>
      <c r="AI211">
        <v>21051</v>
      </c>
      <c r="AJ211">
        <v>29</v>
      </c>
      <c r="AK211">
        <v>2</v>
      </c>
      <c r="AL211">
        <v>310</v>
      </c>
      <c r="AM211">
        <v>0</v>
      </c>
      <c r="AN211">
        <v>45</v>
      </c>
      <c r="AO211">
        <v>16</v>
      </c>
      <c r="AP211" t="s">
        <v>58</v>
      </c>
    </row>
    <row r="212" spans="1:42" x14ac:dyDescent="0.3">
      <c r="A212" t="s">
        <v>50</v>
      </c>
      <c r="B212">
        <v>12</v>
      </c>
      <c r="C212">
        <v>16</v>
      </c>
      <c r="D212">
        <v>41</v>
      </c>
      <c r="E212">
        <v>59</v>
      </c>
      <c r="F212">
        <v>2</v>
      </c>
      <c r="G212">
        <v>550</v>
      </c>
      <c r="H212">
        <v>179</v>
      </c>
      <c r="I212">
        <v>12</v>
      </c>
      <c r="J212">
        <v>4</v>
      </c>
      <c r="K212">
        <v>3</v>
      </c>
      <c r="L212">
        <v>0</v>
      </c>
      <c r="M212">
        <v>37</v>
      </c>
      <c r="N212">
        <v>4</v>
      </c>
      <c r="O212">
        <v>0</v>
      </c>
      <c r="P212">
        <v>73</v>
      </c>
      <c r="Q212">
        <v>14</v>
      </c>
      <c r="R212">
        <v>48</v>
      </c>
      <c r="S212">
        <v>76</v>
      </c>
      <c r="T212">
        <v>128</v>
      </c>
      <c r="U212">
        <v>514</v>
      </c>
      <c r="V212">
        <v>675</v>
      </c>
      <c r="W212">
        <v>1</v>
      </c>
      <c r="X212">
        <v>914</v>
      </c>
      <c r="Y212">
        <v>505</v>
      </c>
      <c r="Z212">
        <v>1</v>
      </c>
      <c r="AA212">
        <v>9</v>
      </c>
      <c r="AB212">
        <v>6</v>
      </c>
      <c r="AC212">
        <v>18245</v>
      </c>
      <c r="AD212">
        <v>57</v>
      </c>
      <c r="AE212">
        <v>2336</v>
      </c>
      <c r="AF212">
        <v>2784</v>
      </c>
      <c r="AG212">
        <v>947</v>
      </c>
      <c r="AH212">
        <v>198</v>
      </c>
      <c r="AI212">
        <v>25881</v>
      </c>
      <c r="AJ212">
        <v>34</v>
      </c>
      <c r="AK212">
        <v>4</v>
      </c>
      <c r="AL212">
        <v>455</v>
      </c>
      <c r="AM212">
        <v>1</v>
      </c>
      <c r="AN212">
        <v>26</v>
      </c>
      <c r="AO212">
        <v>12</v>
      </c>
      <c r="AP212" t="s">
        <v>58</v>
      </c>
    </row>
    <row r="213" spans="1:42" x14ac:dyDescent="0.3">
      <c r="A213" t="s">
        <v>48</v>
      </c>
      <c r="B213">
        <v>12</v>
      </c>
      <c r="C213">
        <v>21</v>
      </c>
      <c r="D213">
        <v>45</v>
      </c>
      <c r="E213">
        <v>56</v>
      </c>
      <c r="F213">
        <v>0</v>
      </c>
      <c r="G213">
        <v>405</v>
      </c>
      <c r="H213">
        <v>145</v>
      </c>
      <c r="I213">
        <v>10</v>
      </c>
      <c r="J213">
        <v>15</v>
      </c>
      <c r="K213">
        <v>3</v>
      </c>
      <c r="L213">
        <v>2</v>
      </c>
      <c r="M213">
        <v>40</v>
      </c>
      <c r="N213">
        <v>5</v>
      </c>
      <c r="O213">
        <v>1</v>
      </c>
      <c r="P213">
        <v>49</v>
      </c>
      <c r="Q213">
        <v>8</v>
      </c>
      <c r="R213">
        <v>70</v>
      </c>
      <c r="S213">
        <v>121</v>
      </c>
      <c r="T213">
        <v>136</v>
      </c>
      <c r="U213">
        <v>459</v>
      </c>
      <c r="V213">
        <v>635</v>
      </c>
      <c r="W213">
        <v>1</v>
      </c>
      <c r="X213">
        <v>1037</v>
      </c>
      <c r="Y213">
        <v>539</v>
      </c>
      <c r="Z213">
        <v>5</v>
      </c>
      <c r="AA213">
        <v>9</v>
      </c>
      <c r="AB213">
        <v>6</v>
      </c>
      <c r="AC213">
        <v>16131</v>
      </c>
      <c r="AD213">
        <v>15</v>
      </c>
      <c r="AE213">
        <v>2579</v>
      </c>
      <c r="AF213">
        <v>2495</v>
      </c>
      <c r="AG213">
        <v>864</v>
      </c>
      <c r="AH213">
        <v>196</v>
      </c>
      <c r="AI213">
        <v>23728</v>
      </c>
      <c r="AJ213">
        <v>25</v>
      </c>
      <c r="AK213">
        <v>2</v>
      </c>
      <c r="AL213">
        <v>446</v>
      </c>
      <c r="AM213">
        <v>1</v>
      </c>
      <c r="AN213">
        <v>72</v>
      </c>
      <c r="AO213">
        <v>16</v>
      </c>
      <c r="AP213" t="s">
        <v>58</v>
      </c>
    </row>
    <row r="214" spans="1:42" x14ac:dyDescent="0.3">
      <c r="A214" t="s">
        <v>35</v>
      </c>
      <c r="B214">
        <v>12</v>
      </c>
      <c r="C214">
        <v>17</v>
      </c>
      <c r="D214">
        <v>43</v>
      </c>
      <c r="E214">
        <v>80</v>
      </c>
      <c r="F214">
        <v>0</v>
      </c>
      <c r="G214">
        <v>399</v>
      </c>
      <c r="H214">
        <v>123</v>
      </c>
      <c r="I214">
        <v>11</v>
      </c>
      <c r="J214">
        <v>16</v>
      </c>
      <c r="K214">
        <v>1</v>
      </c>
      <c r="L214">
        <v>1</v>
      </c>
      <c r="M214">
        <v>37</v>
      </c>
      <c r="N214">
        <v>6</v>
      </c>
      <c r="O214">
        <v>3</v>
      </c>
      <c r="P214">
        <v>59</v>
      </c>
      <c r="Q214">
        <v>6</v>
      </c>
      <c r="R214">
        <v>51</v>
      </c>
      <c r="S214">
        <v>116</v>
      </c>
      <c r="T214">
        <v>150</v>
      </c>
      <c r="U214">
        <v>537</v>
      </c>
      <c r="V214">
        <v>605</v>
      </c>
      <c r="W214">
        <v>0</v>
      </c>
      <c r="X214">
        <v>999</v>
      </c>
      <c r="Y214">
        <v>577</v>
      </c>
      <c r="Z214">
        <v>1</v>
      </c>
      <c r="AA214">
        <v>3</v>
      </c>
      <c r="AB214">
        <v>3</v>
      </c>
      <c r="AC214">
        <v>11825</v>
      </c>
      <c r="AD214">
        <v>37</v>
      </c>
      <c r="AE214">
        <v>2653</v>
      </c>
      <c r="AF214">
        <v>1798</v>
      </c>
      <c r="AG214">
        <v>766</v>
      </c>
      <c r="AH214">
        <v>159</v>
      </c>
      <c r="AI214">
        <v>19042</v>
      </c>
      <c r="AJ214">
        <v>24</v>
      </c>
      <c r="AK214">
        <v>3</v>
      </c>
      <c r="AL214">
        <v>445</v>
      </c>
      <c r="AM214">
        <v>0</v>
      </c>
      <c r="AN214">
        <v>53</v>
      </c>
      <c r="AO214">
        <v>10</v>
      </c>
      <c r="AP214" t="s">
        <v>58</v>
      </c>
    </row>
    <row r="215" spans="1:42" x14ac:dyDescent="0.3">
      <c r="A215" t="s">
        <v>18</v>
      </c>
      <c r="B215">
        <v>12</v>
      </c>
      <c r="C215">
        <v>17</v>
      </c>
      <c r="D215">
        <v>47</v>
      </c>
      <c r="E215">
        <v>78</v>
      </c>
      <c r="F215">
        <v>5</v>
      </c>
      <c r="G215">
        <v>499</v>
      </c>
      <c r="H215">
        <v>138</v>
      </c>
      <c r="I215">
        <v>14</v>
      </c>
      <c r="J215">
        <v>14</v>
      </c>
      <c r="K215">
        <v>3</v>
      </c>
      <c r="L215">
        <v>3</v>
      </c>
      <c r="M215">
        <v>41</v>
      </c>
      <c r="N215">
        <v>6</v>
      </c>
      <c r="O215">
        <v>3</v>
      </c>
      <c r="P215">
        <v>74</v>
      </c>
      <c r="Q215">
        <v>10</v>
      </c>
      <c r="R215">
        <v>64</v>
      </c>
      <c r="S215">
        <v>117</v>
      </c>
      <c r="T215">
        <v>112</v>
      </c>
      <c r="U215">
        <v>614</v>
      </c>
      <c r="V215">
        <v>574</v>
      </c>
      <c r="W215">
        <v>4</v>
      </c>
      <c r="X215">
        <v>1074</v>
      </c>
      <c r="Y215">
        <v>625</v>
      </c>
      <c r="Z215">
        <v>0</v>
      </c>
      <c r="AA215">
        <v>8</v>
      </c>
      <c r="AB215">
        <v>5</v>
      </c>
      <c r="AC215">
        <v>15127</v>
      </c>
      <c r="AD215">
        <v>37</v>
      </c>
      <c r="AE215">
        <v>2622</v>
      </c>
      <c r="AF215">
        <v>2312</v>
      </c>
      <c r="AG215">
        <v>752</v>
      </c>
      <c r="AH215">
        <v>172</v>
      </c>
      <c r="AI215">
        <v>22666</v>
      </c>
      <c r="AJ215">
        <v>24</v>
      </c>
      <c r="AK215">
        <v>3</v>
      </c>
      <c r="AL215">
        <v>367</v>
      </c>
      <c r="AM215">
        <v>1</v>
      </c>
      <c r="AN215">
        <v>47</v>
      </c>
      <c r="AO215">
        <v>11</v>
      </c>
      <c r="AP215" t="s">
        <v>58</v>
      </c>
    </row>
    <row r="216" spans="1:42" x14ac:dyDescent="0.3">
      <c r="A216" t="s">
        <v>40</v>
      </c>
      <c r="B216">
        <v>11</v>
      </c>
      <c r="C216">
        <v>20</v>
      </c>
      <c r="D216">
        <v>39</v>
      </c>
      <c r="E216">
        <v>65</v>
      </c>
      <c r="F216">
        <v>2</v>
      </c>
      <c r="G216">
        <v>391</v>
      </c>
      <c r="H216">
        <v>120</v>
      </c>
      <c r="I216">
        <v>5</v>
      </c>
      <c r="J216">
        <v>4</v>
      </c>
      <c r="K216">
        <v>6</v>
      </c>
      <c r="L216">
        <v>3</v>
      </c>
      <c r="M216">
        <v>31</v>
      </c>
      <c r="N216">
        <v>8</v>
      </c>
      <c r="O216">
        <v>2</v>
      </c>
      <c r="P216">
        <v>101</v>
      </c>
      <c r="Q216">
        <v>10</v>
      </c>
      <c r="R216">
        <v>55</v>
      </c>
      <c r="S216">
        <v>151</v>
      </c>
      <c r="T216">
        <v>221</v>
      </c>
      <c r="U216">
        <v>539</v>
      </c>
      <c r="V216">
        <v>638</v>
      </c>
      <c r="W216">
        <v>2</v>
      </c>
      <c r="X216">
        <v>1233</v>
      </c>
      <c r="Y216">
        <v>698</v>
      </c>
      <c r="Z216">
        <v>2</v>
      </c>
      <c r="AA216">
        <v>5</v>
      </c>
      <c r="AB216">
        <v>4</v>
      </c>
      <c r="AC216">
        <v>12558</v>
      </c>
      <c r="AD216">
        <v>21</v>
      </c>
      <c r="AE216">
        <v>3176</v>
      </c>
      <c r="AF216">
        <v>1888</v>
      </c>
      <c r="AG216">
        <v>650</v>
      </c>
      <c r="AH216">
        <v>149</v>
      </c>
      <c r="AI216">
        <v>19776</v>
      </c>
      <c r="AJ216">
        <v>18</v>
      </c>
      <c r="AK216">
        <v>6</v>
      </c>
      <c r="AL216">
        <v>334</v>
      </c>
      <c r="AM216">
        <v>1</v>
      </c>
      <c r="AN216">
        <v>29</v>
      </c>
      <c r="AO216">
        <v>14</v>
      </c>
      <c r="AP216" t="s">
        <v>58</v>
      </c>
    </row>
    <row r="217" spans="1:42" x14ac:dyDescent="0.3">
      <c r="A217" t="s">
        <v>37</v>
      </c>
      <c r="B217">
        <v>11</v>
      </c>
      <c r="C217">
        <v>16</v>
      </c>
      <c r="D217">
        <v>41</v>
      </c>
      <c r="E217">
        <v>70</v>
      </c>
      <c r="F217">
        <v>2</v>
      </c>
      <c r="G217">
        <v>425</v>
      </c>
      <c r="H217">
        <v>137</v>
      </c>
      <c r="I217">
        <v>14</v>
      </c>
      <c r="J217">
        <v>7</v>
      </c>
      <c r="K217">
        <v>4</v>
      </c>
      <c r="L217">
        <v>2</v>
      </c>
      <c r="M217">
        <v>36</v>
      </c>
      <c r="N217">
        <v>5</v>
      </c>
      <c r="O217">
        <v>0</v>
      </c>
      <c r="P217">
        <v>85</v>
      </c>
      <c r="Q217">
        <v>11</v>
      </c>
      <c r="R217">
        <v>56</v>
      </c>
      <c r="S217">
        <v>127</v>
      </c>
      <c r="T217">
        <v>159</v>
      </c>
      <c r="U217">
        <v>497</v>
      </c>
      <c r="V217">
        <v>666</v>
      </c>
      <c r="W217">
        <v>3</v>
      </c>
      <c r="X217">
        <v>1009</v>
      </c>
      <c r="Y217">
        <v>505</v>
      </c>
      <c r="Z217">
        <v>5</v>
      </c>
      <c r="AA217">
        <v>3</v>
      </c>
      <c r="AB217">
        <v>1</v>
      </c>
      <c r="AC217">
        <v>14558</v>
      </c>
      <c r="AD217">
        <v>54</v>
      </c>
      <c r="AE217">
        <v>2507</v>
      </c>
      <c r="AF217">
        <v>2170</v>
      </c>
      <c r="AG217">
        <v>718</v>
      </c>
      <c r="AH217">
        <v>188</v>
      </c>
      <c r="AI217">
        <v>22087</v>
      </c>
      <c r="AJ217">
        <v>41</v>
      </c>
      <c r="AK217">
        <v>5</v>
      </c>
      <c r="AL217">
        <v>415</v>
      </c>
      <c r="AM217">
        <v>1</v>
      </c>
      <c r="AN217">
        <v>40</v>
      </c>
      <c r="AO217">
        <v>23</v>
      </c>
      <c r="AP217" t="s">
        <v>58</v>
      </c>
    </row>
    <row r="218" spans="1:42" x14ac:dyDescent="0.3">
      <c r="A218" t="s">
        <v>8</v>
      </c>
      <c r="B218">
        <v>11</v>
      </c>
      <c r="C218">
        <v>20</v>
      </c>
      <c r="D218">
        <v>40</v>
      </c>
      <c r="E218">
        <v>84</v>
      </c>
      <c r="F218">
        <v>5</v>
      </c>
      <c r="G218">
        <v>422</v>
      </c>
      <c r="H218">
        <v>143</v>
      </c>
      <c r="I218">
        <v>7</v>
      </c>
      <c r="J218">
        <v>9</v>
      </c>
      <c r="K218">
        <v>3</v>
      </c>
      <c r="L218">
        <v>0</v>
      </c>
      <c r="M218">
        <v>36</v>
      </c>
      <c r="N218">
        <v>4</v>
      </c>
      <c r="O218">
        <v>0</v>
      </c>
      <c r="P218">
        <v>61</v>
      </c>
      <c r="Q218">
        <v>7</v>
      </c>
      <c r="R218">
        <v>68</v>
      </c>
      <c r="S218">
        <v>121</v>
      </c>
      <c r="T218">
        <v>140</v>
      </c>
      <c r="U218">
        <v>512</v>
      </c>
      <c r="V218">
        <v>618</v>
      </c>
      <c r="W218">
        <v>0</v>
      </c>
      <c r="X218">
        <v>1016</v>
      </c>
      <c r="Y218">
        <v>494</v>
      </c>
      <c r="Z218">
        <v>2</v>
      </c>
      <c r="AA218">
        <v>4</v>
      </c>
      <c r="AB218">
        <v>3</v>
      </c>
      <c r="AC218">
        <v>14049</v>
      </c>
      <c r="AD218">
        <v>22</v>
      </c>
      <c r="AE218">
        <v>2600</v>
      </c>
      <c r="AF218">
        <v>2200</v>
      </c>
      <c r="AG218">
        <v>686</v>
      </c>
      <c r="AH218">
        <v>164</v>
      </c>
      <c r="AI218">
        <v>21547</v>
      </c>
      <c r="AJ218">
        <v>25</v>
      </c>
      <c r="AK218">
        <v>3</v>
      </c>
      <c r="AL218">
        <v>390</v>
      </c>
      <c r="AM218">
        <v>1</v>
      </c>
      <c r="AN218">
        <v>53</v>
      </c>
      <c r="AO218">
        <v>35</v>
      </c>
      <c r="AP218" t="s">
        <v>58</v>
      </c>
    </row>
    <row r="219" spans="1:42" x14ac:dyDescent="0.3">
      <c r="A219" t="s">
        <v>38</v>
      </c>
      <c r="B219">
        <v>9</v>
      </c>
      <c r="C219">
        <v>22</v>
      </c>
      <c r="D219">
        <v>37</v>
      </c>
      <c r="E219">
        <v>67</v>
      </c>
      <c r="F219">
        <v>5</v>
      </c>
      <c r="G219">
        <v>397</v>
      </c>
      <c r="H219">
        <v>126</v>
      </c>
      <c r="I219">
        <v>10</v>
      </c>
      <c r="J219">
        <v>5</v>
      </c>
      <c r="K219">
        <v>3</v>
      </c>
      <c r="L219">
        <v>2</v>
      </c>
      <c r="M219">
        <v>33</v>
      </c>
      <c r="N219">
        <v>4</v>
      </c>
      <c r="O219">
        <v>3</v>
      </c>
      <c r="P219">
        <v>71</v>
      </c>
      <c r="Q219">
        <v>5</v>
      </c>
      <c r="R219">
        <v>80</v>
      </c>
      <c r="S219">
        <v>137</v>
      </c>
      <c r="T219">
        <v>184</v>
      </c>
      <c r="U219">
        <v>573</v>
      </c>
      <c r="V219">
        <v>631</v>
      </c>
      <c r="W219">
        <v>3</v>
      </c>
      <c r="X219">
        <v>1101</v>
      </c>
      <c r="Y219">
        <v>600</v>
      </c>
      <c r="Z219">
        <v>5</v>
      </c>
      <c r="AA219">
        <v>13</v>
      </c>
      <c r="AB219">
        <v>11</v>
      </c>
      <c r="AC219">
        <v>15596</v>
      </c>
      <c r="AD219">
        <v>41</v>
      </c>
      <c r="AE219">
        <v>2650</v>
      </c>
      <c r="AF219">
        <v>2487</v>
      </c>
      <c r="AG219">
        <v>739</v>
      </c>
      <c r="AH219">
        <v>179</v>
      </c>
      <c r="AI219">
        <v>22779</v>
      </c>
      <c r="AJ219">
        <v>18</v>
      </c>
      <c r="AK219">
        <v>6</v>
      </c>
      <c r="AL219">
        <v>399</v>
      </c>
      <c r="AM219">
        <v>2</v>
      </c>
      <c r="AN219">
        <v>40</v>
      </c>
      <c r="AO219">
        <v>18</v>
      </c>
      <c r="AP219" t="s">
        <v>58</v>
      </c>
    </row>
    <row r="220" spans="1:42" x14ac:dyDescent="0.3">
      <c r="A220" t="s">
        <v>29</v>
      </c>
      <c r="B220">
        <v>6</v>
      </c>
      <c r="C220">
        <v>26</v>
      </c>
      <c r="D220">
        <v>29</v>
      </c>
      <c r="E220">
        <v>78</v>
      </c>
      <c r="F220">
        <v>4</v>
      </c>
      <c r="G220">
        <v>387</v>
      </c>
      <c r="H220">
        <v>119</v>
      </c>
      <c r="I220">
        <v>4</v>
      </c>
      <c r="J220">
        <v>1</v>
      </c>
      <c r="K220">
        <v>5</v>
      </c>
      <c r="L220">
        <v>0</v>
      </c>
      <c r="M220">
        <v>26</v>
      </c>
      <c r="N220">
        <v>3</v>
      </c>
      <c r="O220">
        <v>0</v>
      </c>
      <c r="P220">
        <v>78</v>
      </c>
      <c r="Q220">
        <v>6</v>
      </c>
      <c r="R220">
        <v>69</v>
      </c>
      <c r="S220">
        <v>176</v>
      </c>
      <c r="T220">
        <v>171</v>
      </c>
      <c r="U220">
        <v>543</v>
      </c>
      <c r="V220">
        <v>630</v>
      </c>
      <c r="W220">
        <v>0</v>
      </c>
      <c r="X220">
        <v>1170</v>
      </c>
      <c r="Y220">
        <v>616</v>
      </c>
      <c r="Z220">
        <v>2</v>
      </c>
      <c r="AA220">
        <v>4</v>
      </c>
      <c r="AB220">
        <v>4</v>
      </c>
      <c r="AC220">
        <v>12359</v>
      </c>
      <c r="AD220">
        <v>38</v>
      </c>
      <c r="AE220">
        <v>2592</v>
      </c>
      <c r="AF220">
        <v>1880</v>
      </c>
      <c r="AG220">
        <v>616</v>
      </c>
      <c r="AH220">
        <v>159</v>
      </c>
      <c r="AI220">
        <v>19639</v>
      </c>
      <c r="AJ220">
        <v>19</v>
      </c>
      <c r="AK220">
        <v>5</v>
      </c>
      <c r="AL220">
        <v>388</v>
      </c>
      <c r="AM220">
        <v>0</v>
      </c>
      <c r="AN220">
        <v>57</v>
      </c>
      <c r="AO220">
        <v>24</v>
      </c>
      <c r="AP220" t="s">
        <v>58</v>
      </c>
    </row>
    <row r="221" spans="1:42" x14ac:dyDescent="0.3">
      <c r="A221" t="s">
        <v>17</v>
      </c>
      <c r="B221">
        <v>5</v>
      </c>
      <c r="C221">
        <v>20</v>
      </c>
      <c r="D221">
        <v>27</v>
      </c>
      <c r="E221">
        <v>77</v>
      </c>
      <c r="F221">
        <v>1</v>
      </c>
      <c r="G221">
        <v>351</v>
      </c>
      <c r="H221">
        <v>100</v>
      </c>
      <c r="I221">
        <v>6</v>
      </c>
      <c r="J221">
        <v>8</v>
      </c>
      <c r="K221">
        <v>2</v>
      </c>
      <c r="L221">
        <v>0</v>
      </c>
      <c r="M221">
        <v>26</v>
      </c>
      <c r="N221">
        <v>1</v>
      </c>
      <c r="O221">
        <v>3</v>
      </c>
      <c r="P221">
        <v>51</v>
      </c>
      <c r="Q221">
        <v>11</v>
      </c>
      <c r="R221">
        <v>53</v>
      </c>
      <c r="S221">
        <v>117</v>
      </c>
      <c r="T221">
        <v>149</v>
      </c>
      <c r="U221">
        <v>549</v>
      </c>
      <c r="V221">
        <v>727</v>
      </c>
      <c r="W221">
        <v>4</v>
      </c>
      <c r="X221">
        <v>1090</v>
      </c>
      <c r="Y221">
        <v>575</v>
      </c>
      <c r="Z221">
        <v>0</v>
      </c>
      <c r="AA221">
        <v>5</v>
      </c>
      <c r="AB221">
        <v>4</v>
      </c>
      <c r="AC221">
        <v>15736</v>
      </c>
      <c r="AD221">
        <v>37</v>
      </c>
      <c r="AE221">
        <v>2856</v>
      </c>
      <c r="AF221">
        <v>2448</v>
      </c>
      <c r="AG221">
        <v>722</v>
      </c>
      <c r="AH221">
        <v>141</v>
      </c>
      <c r="AI221">
        <v>23067</v>
      </c>
      <c r="AJ221">
        <v>19</v>
      </c>
      <c r="AK221">
        <v>4</v>
      </c>
      <c r="AL221">
        <v>357</v>
      </c>
      <c r="AM221">
        <v>0</v>
      </c>
      <c r="AN221">
        <v>39</v>
      </c>
      <c r="AO221">
        <v>17</v>
      </c>
      <c r="AP221" t="s">
        <v>58</v>
      </c>
    </row>
    <row r="222" spans="1:42" x14ac:dyDescent="0.3">
      <c r="A222" t="s">
        <v>26</v>
      </c>
      <c r="B222">
        <v>32</v>
      </c>
      <c r="C222">
        <v>2</v>
      </c>
      <c r="D222">
        <v>106</v>
      </c>
      <c r="E222">
        <v>59</v>
      </c>
      <c r="F222">
        <v>2</v>
      </c>
      <c r="G222">
        <v>665</v>
      </c>
      <c r="H222">
        <v>265</v>
      </c>
      <c r="I222">
        <v>23</v>
      </c>
      <c r="J222">
        <v>12</v>
      </c>
      <c r="K222">
        <v>6</v>
      </c>
      <c r="L222">
        <v>1</v>
      </c>
      <c r="M222">
        <v>93</v>
      </c>
      <c r="N222">
        <v>13</v>
      </c>
      <c r="O222">
        <v>4</v>
      </c>
      <c r="P222">
        <v>67</v>
      </c>
      <c r="Q222">
        <v>18</v>
      </c>
      <c r="R222">
        <v>27</v>
      </c>
      <c r="S222">
        <v>62</v>
      </c>
      <c r="T222">
        <v>53</v>
      </c>
      <c r="U222">
        <v>346</v>
      </c>
      <c r="V222">
        <v>563</v>
      </c>
      <c r="W222">
        <v>3</v>
      </c>
      <c r="X222">
        <v>588</v>
      </c>
      <c r="Y222">
        <v>308</v>
      </c>
      <c r="Z222">
        <v>2</v>
      </c>
      <c r="AA222">
        <v>2</v>
      </c>
      <c r="AB222">
        <v>0</v>
      </c>
      <c r="AC222">
        <v>28241</v>
      </c>
      <c r="AD222">
        <v>118</v>
      </c>
      <c r="AE222">
        <v>1775</v>
      </c>
      <c r="AF222">
        <v>4546</v>
      </c>
      <c r="AG222">
        <v>691</v>
      </c>
      <c r="AH222">
        <v>284</v>
      </c>
      <c r="AI222">
        <v>35130</v>
      </c>
      <c r="AJ222">
        <v>63</v>
      </c>
      <c r="AK222">
        <v>4</v>
      </c>
      <c r="AL222">
        <v>406</v>
      </c>
      <c r="AM222">
        <v>2</v>
      </c>
      <c r="AN222">
        <v>21</v>
      </c>
      <c r="AO222">
        <v>15</v>
      </c>
      <c r="AP222" t="s">
        <v>59</v>
      </c>
    </row>
    <row r="223" spans="1:42" x14ac:dyDescent="0.3">
      <c r="A223" t="s">
        <v>22</v>
      </c>
      <c r="B223">
        <v>25</v>
      </c>
      <c r="C223">
        <v>7</v>
      </c>
      <c r="D223">
        <v>68</v>
      </c>
      <c r="E223">
        <v>64</v>
      </c>
      <c r="F223">
        <v>1</v>
      </c>
      <c r="G223">
        <v>512</v>
      </c>
      <c r="H223">
        <v>178</v>
      </c>
      <c r="I223">
        <v>16</v>
      </c>
      <c r="J223">
        <v>12</v>
      </c>
      <c r="K223">
        <v>1</v>
      </c>
      <c r="L223">
        <v>2</v>
      </c>
      <c r="M223">
        <v>56</v>
      </c>
      <c r="N223">
        <v>13</v>
      </c>
      <c r="O223">
        <v>4</v>
      </c>
      <c r="P223">
        <v>88</v>
      </c>
      <c r="Q223">
        <v>19</v>
      </c>
      <c r="R223">
        <v>28</v>
      </c>
      <c r="S223">
        <v>118</v>
      </c>
      <c r="T223">
        <v>112</v>
      </c>
      <c r="U223">
        <v>481</v>
      </c>
      <c r="V223">
        <v>564</v>
      </c>
      <c r="W223">
        <v>0</v>
      </c>
      <c r="X223">
        <v>853</v>
      </c>
      <c r="Y223">
        <v>436</v>
      </c>
      <c r="Z223">
        <v>2</v>
      </c>
      <c r="AA223">
        <v>1</v>
      </c>
      <c r="AB223">
        <v>1</v>
      </c>
      <c r="AC223">
        <v>20064</v>
      </c>
      <c r="AD223">
        <v>85</v>
      </c>
      <c r="AE223">
        <v>2308</v>
      </c>
      <c r="AF223">
        <v>2878</v>
      </c>
      <c r="AG223">
        <v>753</v>
      </c>
      <c r="AH223">
        <v>220</v>
      </c>
      <c r="AI223">
        <v>27525</v>
      </c>
      <c r="AJ223">
        <v>42</v>
      </c>
      <c r="AK223">
        <v>4</v>
      </c>
      <c r="AL223">
        <v>399</v>
      </c>
      <c r="AM223">
        <v>0</v>
      </c>
      <c r="AN223">
        <v>20</v>
      </c>
      <c r="AO223">
        <v>6</v>
      </c>
      <c r="AP223" t="s">
        <v>59</v>
      </c>
    </row>
    <row r="224" spans="1:42" x14ac:dyDescent="0.3">
      <c r="A224" t="s">
        <v>21</v>
      </c>
      <c r="B224">
        <v>23</v>
      </c>
      <c r="C224">
        <v>7</v>
      </c>
      <c r="D224">
        <v>74</v>
      </c>
      <c r="E224">
        <v>50</v>
      </c>
      <c r="F224">
        <v>2</v>
      </c>
      <c r="G224">
        <v>623</v>
      </c>
      <c r="H224">
        <v>216</v>
      </c>
      <c r="I224">
        <v>13</v>
      </c>
      <c r="J224">
        <v>11</v>
      </c>
      <c r="K224">
        <v>2</v>
      </c>
      <c r="L224">
        <v>1</v>
      </c>
      <c r="M224">
        <v>64</v>
      </c>
      <c r="N224">
        <v>11</v>
      </c>
      <c r="O224">
        <v>8</v>
      </c>
      <c r="P224">
        <v>88</v>
      </c>
      <c r="Q224">
        <v>16</v>
      </c>
      <c r="R224">
        <v>36</v>
      </c>
      <c r="S224">
        <v>93</v>
      </c>
      <c r="T224">
        <v>74</v>
      </c>
      <c r="U224">
        <v>380</v>
      </c>
      <c r="V224">
        <v>618</v>
      </c>
      <c r="W224">
        <v>3</v>
      </c>
      <c r="X224">
        <v>825</v>
      </c>
      <c r="Y224">
        <v>422</v>
      </c>
      <c r="Z224">
        <v>1</v>
      </c>
      <c r="AA224">
        <v>3</v>
      </c>
      <c r="AB224">
        <v>2</v>
      </c>
      <c r="AC224">
        <v>21660</v>
      </c>
      <c r="AD224">
        <v>83</v>
      </c>
      <c r="AE224">
        <v>2447</v>
      </c>
      <c r="AF224">
        <v>3176</v>
      </c>
      <c r="AG224">
        <v>825</v>
      </c>
      <c r="AH224">
        <v>246</v>
      </c>
      <c r="AI224">
        <v>29412</v>
      </c>
      <c r="AJ224">
        <v>50</v>
      </c>
      <c r="AK224">
        <v>1</v>
      </c>
      <c r="AL224">
        <v>460</v>
      </c>
      <c r="AM224">
        <v>0</v>
      </c>
      <c r="AN224">
        <v>20</v>
      </c>
      <c r="AO224">
        <v>21</v>
      </c>
      <c r="AP224" t="s">
        <v>59</v>
      </c>
    </row>
    <row r="225" spans="1:42" x14ac:dyDescent="0.3">
      <c r="A225" t="s">
        <v>25</v>
      </c>
      <c r="B225">
        <v>21</v>
      </c>
      <c r="C225">
        <v>10</v>
      </c>
      <c r="D225">
        <v>62</v>
      </c>
      <c r="E225">
        <v>42</v>
      </c>
      <c r="F225">
        <v>4</v>
      </c>
      <c r="G225">
        <v>606</v>
      </c>
      <c r="H225">
        <v>220</v>
      </c>
      <c r="I225">
        <v>11</v>
      </c>
      <c r="J225">
        <v>17</v>
      </c>
      <c r="K225">
        <v>3</v>
      </c>
      <c r="L225">
        <v>2</v>
      </c>
      <c r="M225">
        <v>52</v>
      </c>
      <c r="N225">
        <v>10</v>
      </c>
      <c r="O225">
        <v>1</v>
      </c>
      <c r="P225">
        <v>108</v>
      </c>
      <c r="Q225">
        <v>16</v>
      </c>
      <c r="R225">
        <v>38</v>
      </c>
      <c r="S225">
        <v>83</v>
      </c>
      <c r="T225">
        <v>107</v>
      </c>
      <c r="U225">
        <v>423</v>
      </c>
      <c r="V225">
        <v>636</v>
      </c>
      <c r="W225">
        <v>1</v>
      </c>
      <c r="X225">
        <v>768</v>
      </c>
      <c r="Y225">
        <v>419</v>
      </c>
      <c r="Z225">
        <v>2</v>
      </c>
      <c r="AA225">
        <v>2</v>
      </c>
      <c r="AB225">
        <v>2</v>
      </c>
      <c r="AC225">
        <v>21264</v>
      </c>
      <c r="AD225">
        <v>70</v>
      </c>
      <c r="AE225">
        <v>2140</v>
      </c>
      <c r="AF225">
        <v>3019</v>
      </c>
      <c r="AG225">
        <v>755</v>
      </c>
      <c r="AH225">
        <v>230</v>
      </c>
      <c r="AI225">
        <v>28728</v>
      </c>
      <c r="AJ225">
        <v>48</v>
      </c>
      <c r="AK225">
        <v>3</v>
      </c>
      <c r="AL225">
        <v>415</v>
      </c>
      <c r="AM225">
        <v>0</v>
      </c>
      <c r="AN225">
        <v>27</v>
      </c>
      <c r="AO225">
        <v>12</v>
      </c>
      <c r="AP225" t="s">
        <v>59</v>
      </c>
    </row>
    <row r="226" spans="1:42" x14ac:dyDescent="0.3">
      <c r="A226" t="s">
        <v>2</v>
      </c>
      <c r="B226">
        <v>21</v>
      </c>
      <c r="C226">
        <v>5</v>
      </c>
      <c r="D226">
        <v>84</v>
      </c>
      <c r="E226">
        <v>44</v>
      </c>
      <c r="F226">
        <v>1</v>
      </c>
      <c r="G226">
        <v>638</v>
      </c>
      <c r="H226">
        <v>233</v>
      </c>
      <c r="I226">
        <v>16</v>
      </c>
      <c r="J226">
        <v>12</v>
      </c>
      <c r="K226">
        <v>2</v>
      </c>
      <c r="L226">
        <v>2</v>
      </c>
      <c r="M226">
        <v>75</v>
      </c>
      <c r="N226">
        <v>9</v>
      </c>
      <c r="O226">
        <v>9</v>
      </c>
      <c r="P226">
        <v>70</v>
      </c>
      <c r="Q226">
        <v>17</v>
      </c>
      <c r="R226">
        <v>38</v>
      </c>
      <c r="S226">
        <v>67</v>
      </c>
      <c r="T226">
        <v>71</v>
      </c>
      <c r="U226">
        <v>379</v>
      </c>
      <c r="V226">
        <v>637</v>
      </c>
      <c r="W226">
        <v>4</v>
      </c>
      <c r="X226">
        <v>736</v>
      </c>
      <c r="Y226">
        <v>362</v>
      </c>
      <c r="Z226">
        <v>0</v>
      </c>
      <c r="AA226">
        <v>6</v>
      </c>
      <c r="AB226">
        <v>4</v>
      </c>
      <c r="AC226">
        <v>22962</v>
      </c>
      <c r="AD226">
        <v>106</v>
      </c>
      <c r="AE226">
        <v>2370</v>
      </c>
      <c r="AF226">
        <v>3313</v>
      </c>
      <c r="AG226">
        <v>764</v>
      </c>
      <c r="AH226">
        <v>230</v>
      </c>
      <c r="AI226">
        <v>30324</v>
      </c>
      <c r="AJ226">
        <v>61</v>
      </c>
      <c r="AK226">
        <v>2</v>
      </c>
      <c r="AL226">
        <v>447</v>
      </c>
      <c r="AM226">
        <v>2</v>
      </c>
      <c r="AN226">
        <v>25</v>
      </c>
      <c r="AO226">
        <v>20</v>
      </c>
      <c r="AP226" t="s">
        <v>59</v>
      </c>
    </row>
    <row r="227" spans="1:42" x14ac:dyDescent="0.3">
      <c r="A227" t="s">
        <v>5</v>
      </c>
      <c r="B227">
        <v>19</v>
      </c>
      <c r="C227">
        <v>13</v>
      </c>
      <c r="D227">
        <v>74</v>
      </c>
      <c r="E227">
        <v>57</v>
      </c>
      <c r="F227">
        <v>2</v>
      </c>
      <c r="G227">
        <v>594</v>
      </c>
      <c r="H227">
        <v>234</v>
      </c>
      <c r="I227">
        <v>17</v>
      </c>
      <c r="J227">
        <v>13</v>
      </c>
      <c r="K227">
        <v>4</v>
      </c>
      <c r="L227">
        <v>1</v>
      </c>
      <c r="M227">
        <v>68</v>
      </c>
      <c r="N227">
        <v>7</v>
      </c>
      <c r="O227">
        <v>0</v>
      </c>
      <c r="P227">
        <v>89</v>
      </c>
      <c r="Q227">
        <v>13</v>
      </c>
      <c r="R227">
        <v>51</v>
      </c>
      <c r="S227">
        <v>100</v>
      </c>
      <c r="T227">
        <v>104</v>
      </c>
      <c r="U227">
        <v>427</v>
      </c>
      <c r="V227">
        <v>623</v>
      </c>
      <c r="W227">
        <v>5</v>
      </c>
      <c r="X227">
        <v>829</v>
      </c>
      <c r="Y227">
        <v>449</v>
      </c>
      <c r="Z227">
        <v>0</v>
      </c>
      <c r="AA227">
        <v>6</v>
      </c>
      <c r="AB227">
        <v>5</v>
      </c>
      <c r="AC227">
        <v>23524</v>
      </c>
      <c r="AD227">
        <v>117</v>
      </c>
      <c r="AE227">
        <v>1994</v>
      </c>
      <c r="AF227">
        <v>3089</v>
      </c>
      <c r="AG227">
        <v>572</v>
      </c>
      <c r="AH227">
        <v>225</v>
      </c>
      <c r="AI227">
        <v>30635</v>
      </c>
      <c r="AJ227">
        <v>57</v>
      </c>
      <c r="AK227">
        <v>5</v>
      </c>
      <c r="AL227">
        <v>412</v>
      </c>
      <c r="AM227">
        <v>1</v>
      </c>
      <c r="AN227">
        <v>39</v>
      </c>
      <c r="AO227">
        <v>24</v>
      </c>
      <c r="AP227" t="s">
        <v>59</v>
      </c>
    </row>
    <row r="228" spans="1:42" x14ac:dyDescent="0.3">
      <c r="A228" t="s">
        <v>40</v>
      </c>
      <c r="B228">
        <v>14</v>
      </c>
      <c r="C228">
        <v>12</v>
      </c>
      <c r="D228">
        <v>36</v>
      </c>
      <c r="E228">
        <v>65</v>
      </c>
      <c r="F228">
        <v>0</v>
      </c>
      <c r="G228">
        <v>378</v>
      </c>
      <c r="H228">
        <v>128</v>
      </c>
      <c r="I228">
        <v>9</v>
      </c>
      <c r="J228">
        <v>10</v>
      </c>
      <c r="K228">
        <v>0</v>
      </c>
      <c r="L228">
        <v>1</v>
      </c>
      <c r="M228">
        <v>32</v>
      </c>
      <c r="N228">
        <v>4</v>
      </c>
      <c r="O228">
        <v>0</v>
      </c>
      <c r="P228">
        <v>100</v>
      </c>
      <c r="Q228">
        <v>12</v>
      </c>
      <c r="R228">
        <v>39</v>
      </c>
      <c r="S228">
        <v>122</v>
      </c>
      <c r="T228">
        <v>191</v>
      </c>
      <c r="U228">
        <v>401</v>
      </c>
      <c r="V228">
        <v>533</v>
      </c>
      <c r="W228">
        <v>2</v>
      </c>
      <c r="X228">
        <v>1184</v>
      </c>
      <c r="Y228">
        <v>640</v>
      </c>
      <c r="Z228">
        <v>1</v>
      </c>
      <c r="AA228">
        <v>6</v>
      </c>
      <c r="AB228">
        <v>3</v>
      </c>
      <c r="AC228">
        <v>13572</v>
      </c>
      <c r="AD228">
        <v>18</v>
      </c>
      <c r="AE228">
        <v>3028</v>
      </c>
      <c r="AF228">
        <v>2245</v>
      </c>
      <c r="AG228">
        <v>707</v>
      </c>
      <c r="AH228">
        <v>167</v>
      </c>
      <c r="AI228">
        <v>20732</v>
      </c>
      <c r="AJ228">
        <v>22</v>
      </c>
      <c r="AK228">
        <v>5</v>
      </c>
      <c r="AL228">
        <v>344</v>
      </c>
      <c r="AM228">
        <v>1</v>
      </c>
      <c r="AN228">
        <v>60</v>
      </c>
      <c r="AO228">
        <v>19</v>
      </c>
      <c r="AP228" t="s">
        <v>59</v>
      </c>
    </row>
    <row r="229" spans="1:42" x14ac:dyDescent="0.3">
      <c r="A229" t="s">
        <v>7</v>
      </c>
      <c r="B229">
        <v>13</v>
      </c>
      <c r="C229">
        <v>15</v>
      </c>
      <c r="D229">
        <v>44</v>
      </c>
      <c r="E229">
        <v>51</v>
      </c>
      <c r="F229">
        <v>3</v>
      </c>
      <c r="G229">
        <v>359</v>
      </c>
      <c r="H229">
        <v>121</v>
      </c>
      <c r="I229">
        <v>7</v>
      </c>
      <c r="J229">
        <v>8</v>
      </c>
      <c r="K229">
        <v>5</v>
      </c>
      <c r="L229">
        <v>0</v>
      </c>
      <c r="M229">
        <v>36</v>
      </c>
      <c r="N229">
        <v>8</v>
      </c>
      <c r="O229">
        <v>2</v>
      </c>
      <c r="P229">
        <v>82</v>
      </c>
      <c r="Q229">
        <v>10</v>
      </c>
      <c r="R229">
        <v>58</v>
      </c>
      <c r="S229">
        <v>121</v>
      </c>
      <c r="T229">
        <v>160</v>
      </c>
      <c r="U229">
        <v>514</v>
      </c>
      <c r="V229">
        <v>644</v>
      </c>
      <c r="W229">
        <v>0</v>
      </c>
      <c r="X229">
        <v>1229</v>
      </c>
      <c r="Y229">
        <v>617</v>
      </c>
      <c r="Z229">
        <v>1</v>
      </c>
      <c r="AA229">
        <v>5</v>
      </c>
      <c r="AB229">
        <v>3</v>
      </c>
      <c r="AC229">
        <v>14749</v>
      </c>
      <c r="AD229">
        <v>25</v>
      </c>
      <c r="AE229">
        <v>2726</v>
      </c>
      <c r="AF229">
        <v>2212</v>
      </c>
      <c r="AG229">
        <v>629</v>
      </c>
      <c r="AH229">
        <v>150</v>
      </c>
      <c r="AI229">
        <v>22298</v>
      </c>
      <c r="AJ229">
        <v>36</v>
      </c>
      <c r="AK229">
        <v>6</v>
      </c>
      <c r="AL229">
        <v>381</v>
      </c>
      <c r="AM229">
        <v>1</v>
      </c>
      <c r="AN229">
        <v>28</v>
      </c>
      <c r="AO229">
        <v>23</v>
      </c>
      <c r="AP229" t="s">
        <v>59</v>
      </c>
    </row>
    <row r="230" spans="1:42" x14ac:dyDescent="0.3">
      <c r="A230" t="s">
        <v>55</v>
      </c>
      <c r="B230">
        <v>12</v>
      </c>
      <c r="C230">
        <v>15</v>
      </c>
      <c r="D230">
        <v>56</v>
      </c>
      <c r="E230">
        <v>52</v>
      </c>
      <c r="F230">
        <v>5</v>
      </c>
      <c r="G230">
        <v>423</v>
      </c>
      <c r="H230">
        <v>149</v>
      </c>
      <c r="I230">
        <v>8</v>
      </c>
      <c r="J230">
        <v>9</v>
      </c>
      <c r="K230">
        <v>5</v>
      </c>
      <c r="L230">
        <v>1</v>
      </c>
      <c r="M230">
        <v>49</v>
      </c>
      <c r="N230">
        <v>7</v>
      </c>
      <c r="O230">
        <v>7</v>
      </c>
      <c r="P230">
        <v>92</v>
      </c>
      <c r="Q230">
        <v>9</v>
      </c>
      <c r="R230">
        <v>60</v>
      </c>
      <c r="S230">
        <v>107</v>
      </c>
      <c r="T230">
        <v>130</v>
      </c>
      <c r="U230">
        <v>413</v>
      </c>
      <c r="V230">
        <v>630</v>
      </c>
      <c r="W230">
        <v>1</v>
      </c>
      <c r="X230">
        <v>920</v>
      </c>
      <c r="Y230">
        <v>487</v>
      </c>
      <c r="Z230">
        <v>2</v>
      </c>
      <c r="AA230">
        <v>4</v>
      </c>
      <c r="AB230">
        <v>2</v>
      </c>
      <c r="AC230">
        <v>15200</v>
      </c>
      <c r="AD230">
        <v>63</v>
      </c>
      <c r="AE230">
        <v>2667</v>
      </c>
      <c r="AF230">
        <v>2094</v>
      </c>
      <c r="AG230">
        <v>744</v>
      </c>
      <c r="AH230">
        <v>203</v>
      </c>
      <c r="AI230">
        <v>22770</v>
      </c>
      <c r="AJ230">
        <v>35</v>
      </c>
      <c r="AK230">
        <v>4</v>
      </c>
      <c r="AL230">
        <v>358</v>
      </c>
      <c r="AM230">
        <v>2</v>
      </c>
      <c r="AN230">
        <v>29</v>
      </c>
      <c r="AO230">
        <v>23</v>
      </c>
      <c r="AP230" t="s">
        <v>59</v>
      </c>
    </row>
    <row r="231" spans="1:42" x14ac:dyDescent="0.3">
      <c r="A231" t="s">
        <v>10</v>
      </c>
      <c r="B231">
        <v>12</v>
      </c>
      <c r="C231">
        <v>18</v>
      </c>
      <c r="D231">
        <v>39</v>
      </c>
      <c r="E231">
        <v>52</v>
      </c>
      <c r="F231">
        <v>2</v>
      </c>
      <c r="G231">
        <v>451</v>
      </c>
      <c r="H231">
        <v>149</v>
      </c>
      <c r="I231">
        <v>12</v>
      </c>
      <c r="J231">
        <v>7</v>
      </c>
      <c r="K231">
        <v>0</v>
      </c>
      <c r="L231">
        <v>1</v>
      </c>
      <c r="M231">
        <v>34</v>
      </c>
      <c r="N231">
        <v>5</v>
      </c>
      <c r="O231">
        <v>5</v>
      </c>
      <c r="P231">
        <v>63</v>
      </c>
      <c r="Q231">
        <v>9</v>
      </c>
      <c r="R231">
        <v>47</v>
      </c>
      <c r="S231">
        <v>105</v>
      </c>
      <c r="T231">
        <v>117</v>
      </c>
      <c r="U231">
        <v>441</v>
      </c>
      <c r="V231">
        <v>644</v>
      </c>
      <c r="W231">
        <v>6</v>
      </c>
      <c r="X231">
        <v>1125</v>
      </c>
      <c r="Y231">
        <v>594</v>
      </c>
      <c r="Z231">
        <v>3</v>
      </c>
      <c r="AA231">
        <v>6</v>
      </c>
      <c r="AB231">
        <v>4</v>
      </c>
      <c r="AC231">
        <v>14028</v>
      </c>
      <c r="AD231">
        <v>67</v>
      </c>
      <c r="AE231">
        <v>2610</v>
      </c>
      <c r="AF231">
        <v>2018</v>
      </c>
      <c r="AG231">
        <v>616</v>
      </c>
      <c r="AH231">
        <v>167</v>
      </c>
      <c r="AI231">
        <v>21506</v>
      </c>
      <c r="AJ231">
        <v>33</v>
      </c>
      <c r="AK231">
        <v>7</v>
      </c>
      <c r="AL231">
        <v>410</v>
      </c>
      <c r="AM231">
        <v>2</v>
      </c>
      <c r="AN231">
        <v>40</v>
      </c>
      <c r="AO231">
        <v>18</v>
      </c>
      <c r="AP231" t="s">
        <v>59</v>
      </c>
    </row>
    <row r="232" spans="1:42" x14ac:dyDescent="0.3">
      <c r="A232" t="s">
        <v>57</v>
      </c>
      <c r="B232">
        <v>11</v>
      </c>
      <c r="C232">
        <v>16</v>
      </c>
      <c r="D232">
        <v>45</v>
      </c>
      <c r="E232">
        <v>55</v>
      </c>
      <c r="F232">
        <v>1</v>
      </c>
      <c r="G232">
        <v>465</v>
      </c>
      <c r="H232">
        <v>158</v>
      </c>
      <c r="I232">
        <v>10</v>
      </c>
      <c r="J232">
        <v>4</v>
      </c>
      <c r="K232">
        <v>3</v>
      </c>
      <c r="L232">
        <v>1</v>
      </c>
      <c r="M232">
        <v>38</v>
      </c>
      <c r="N232">
        <v>7</v>
      </c>
      <c r="O232">
        <v>0</v>
      </c>
      <c r="P232">
        <v>52</v>
      </c>
      <c r="Q232">
        <v>6</v>
      </c>
      <c r="R232">
        <v>61</v>
      </c>
      <c r="S232">
        <v>111</v>
      </c>
      <c r="T232">
        <v>160</v>
      </c>
      <c r="U232">
        <v>367</v>
      </c>
      <c r="V232">
        <v>508</v>
      </c>
      <c r="W232">
        <v>3</v>
      </c>
      <c r="X232">
        <v>1037</v>
      </c>
      <c r="Y232">
        <v>523</v>
      </c>
      <c r="Z232">
        <v>1</v>
      </c>
      <c r="AA232">
        <v>3</v>
      </c>
      <c r="AB232">
        <v>2</v>
      </c>
      <c r="AC232">
        <v>16131</v>
      </c>
      <c r="AD232">
        <v>37</v>
      </c>
      <c r="AE232">
        <v>2299</v>
      </c>
      <c r="AF232">
        <v>2257</v>
      </c>
      <c r="AG232">
        <v>707</v>
      </c>
      <c r="AH232">
        <v>218</v>
      </c>
      <c r="AI232">
        <v>23634</v>
      </c>
      <c r="AJ232">
        <v>24</v>
      </c>
      <c r="AK232">
        <v>6</v>
      </c>
      <c r="AL232">
        <v>419</v>
      </c>
      <c r="AM232">
        <v>1</v>
      </c>
      <c r="AN232">
        <v>37</v>
      </c>
      <c r="AO232">
        <v>20</v>
      </c>
      <c r="AP232" t="s">
        <v>59</v>
      </c>
    </row>
    <row r="233" spans="1:42" x14ac:dyDescent="0.3">
      <c r="A233" t="s">
        <v>53</v>
      </c>
      <c r="B233">
        <v>11</v>
      </c>
      <c r="C233">
        <v>16</v>
      </c>
      <c r="D233">
        <v>45</v>
      </c>
      <c r="E233">
        <v>72</v>
      </c>
      <c r="F233">
        <v>0</v>
      </c>
      <c r="G233">
        <v>476</v>
      </c>
      <c r="H233">
        <v>151</v>
      </c>
      <c r="I233">
        <v>8</v>
      </c>
      <c r="J233">
        <v>4</v>
      </c>
      <c r="K233">
        <v>8</v>
      </c>
      <c r="L233">
        <v>1</v>
      </c>
      <c r="M233">
        <v>39</v>
      </c>
      <c r="N233">
        <v>6</v>
      </c>
      <c r="O233">
        <v>3</v>
      </c>
      <c r="P233">
        <v>56</v>
      </c>
      <c r="Q233">
        <v>9</v>
      </c>
      <c r="R233">
        <v>55</v>
      </c>
      <c r="S233">
        <v>122</v>
      </c>
      <c r="T233">
        <v>117</v>
      </c>
      <c r="U233">
        <v>552</v>
      </c>
      <c r="V233">
        <v>685</v>
      </c>
      <c r="W233">
        <v>6</v>
      </c>
      <c r="X233">
        <v>1022</v>
      </c>
      <c r="Y233">
        <v>517</v>
      </c>
      <c r="Z233">
        <v>2</v>
      </c>
      <c r="AA233">
        <v>2</v>
      </c>
      <c r="AB233">
        <v>2</v>
      </c>
      <c r="AC233">
        <v>14372</v>
      </c>
      <c r="AD233">
        <v>30</v>
      </c>
      <c r="AE233">
        <v>2416</v>
      </c>
      <c r="AF233">
        <v>2091</v>
      </c>
      <c r="AG233">
        <v>703</v>
      </c>
      <c r="AH233">
        <v>210</v>
      </c>
      <c r="AI233">
        <v>22434</v>
      </c>
      <c r="AJ233">
        <v>55</v>
      </c>
      <c r="AK233">
        <v>6</v>
      </c>
      <c r="AL233">
        <v>482</v>
      </c>
      <c r="AM233">
        <v>0</v>
      </c>
      <c r="AN233">
        <v>39</v>
      </c>
      <c r="AO233">
        <v>11</v>
      </c>
      <c r="AP233" t="s">
        <v>59</v>
      </c>
    </row>
    <row r="234" spans="1:42" x14ac:dyDescent="0.3">
      <c r="A234" t="s">
        <v>8</v>
      </c>
      <c r="B234">
        <v>11</v>
      </c>
      <c r="C234">
        <v>19</v>
      </c>
      <c r="D234">
        <v>44</v>
      </c>
      <c r="E234">
        <v>63</v>
      </c>
      <c r="F234">
        <v>4</v>
      </c>
      <c r="G234">
        <v>440</v>
      </c>
      <c r="H234">
        <v>132</v>
      </c>
      <c r="I234">
        <v>8</v>
      </c>
      <c r="J234">
        <v>9</v>
      </c>
      <c r="K234">
        <v>3</v>
      </c>
      <c r="L234">
        <v>0</v>
      </c>
      <c r="M234">
        <v>38</v>
      </c>
      <c r="N234">
        <v>6</v>
      </c>
      <c r="O234">
        <v>1</v>
      </c>
      <c r="P234">
        <v>74</v>
      </c>
      <c r="Q234">
        <v>9</v>
      </c>
      <c r="R234">
        <v>64</v>
      </c>
      <c r="S234">
        <v>95</v>
      </c>
      <c r="T234">
        <v>98</v>
      </c>
      <c r="U234">
        <v>467</v>
      </c>
      <c r="V234">
        <v>668</v>
      </c>
      <c r="W234">
        <v>2</v>
      </c>
      <c r="X234">
        <v>953</v>
      </c>
      <c r="Y234">
        <v>492</v>
      </c>
      <c r="Z234">
        <v>1</v>
      </c>
      <c r="AA234">
        <v>6</v>
      </c>
      <c r="AB234">
        <v>6</v>
      </c>
      <c r="AC234">
        <v>15654</v>
      </c>
      <c r="AD234">
        <v>27</v>
      </c>
      <c r="AE234">
        <v>2410</v>
      </c>
      <c r="AF234">
        <v>2241</v>
      </c>
      <c r="AG234">
        <v>713</v>
      </c>
      <c r="AH234">
        <v>183</v>
      </c>
      <c r="AI234">
        <v>23127</v>
      </c>
      <c r="AJ234">
        <v>36</v>
      </c>
      <c r="AK234">
        <v>5</v>
      </c>
      <c r="AL234">
        <v>410</v>
      </c>
      <c r="AM234">
        <v>0</v>
      </c>
      <c r="AN234">
        <v>25</v>
      </c>
      <c r="AO234">
        <v>28</v>
      </c>
      <c r="AP234" t="s">
        <v>59</v>
      </c>
    </row>
    <row r="235" spans="1:42" x14ac:dyDescent="0.3">
      <c r="A235" t="s">
        <v>18</v>
      </c>
      <c r="B235">
        <v>10</v>
      </c>
      <c r="C235">
        <v>16</v>
      </c>
      <c r="D235">
        <v>48</v>
      </c>
      <c r="E235">
        <v>73</v>
      </c>
      <c r="F235">
        <v>2</v>
      </c>
      <c r="G235">
        <v>372</v>
      </c>
      <c r="H235">
        <v>133</v>
      </c>
      <c r="I235">
        <v>14</v>
      </c>
      <c r="J235">
        <v>6</v>
      </c>
      <c r="K235">
        <v>2</v>
      </c>
      <c r="L235">
        <v>1</v>
      </c>
      <c r="M235">
        <v>39</v>
      </c>
      <c r="N235">
        <v>10</v>
      </c>
      <c r="O235">
        <v>4</v>
      </c>
      <c r="P235">
        <v>97</v>
      </c>
      <c r="Q235">
        <v>10</v>
      </c>
      <c r="R235">
        <v>68</v>
      </c>
      <c r="S235">
        <v>122</v>
      </c>
      <c r="T235">
        <v>154</v>
      </c>
      <c r="U235">
        <v>482</v>
      </c>
      <c r="V235">
        <v>621</v>
      </c>
      <c r="W235">
        <v>2</v>
      </c>
      <c r="X235">
        <v>1007</v>
      </c>
      <c r="Y235">
        <v>560</v>
      </c>
      <c r="Z235">
        <v>1</v>
      </c>
      <c r="AA235">
        <v>7</v>
      </c>
      <c r="AB235">
        <v>5</v>
      </c>
      <c r="AC235">
        <v>14369</v>
      </c>
      <c r="AD235">
        <v>51</v>
      </c>
      <c r="AE235">
        <v>2567</v>
      </c>
      <c r="AF235">
        <v>2177</v>
      </c>
      <c r="AG235">
        <v>732</v>
      </c>
      <c r="AH235">
        <v>161</v>
      </c>
      <c r="AI235">
        <v>21928</v>
      </c>
      <c r="AJ235">
        <v>29</v>
      </c>
      <c r="AK235">
        <v>4</v>
      </c>
      <c r="AL235">
        <v>390</v>
      </c>
      <c r="AM235">
        <v>1</v>
      </c>
      <c r="AN235">
        <v>19</v>
      </c>
      <c r="AO235">
        <v>19</v>
      </c>
      <c r="AP235" t="s">
        <v>59</v>
      </c>
    </row>
    <row r="236" spans="1:42" x14ac:dyDescent="0.3">
      <c r="A236" t="s">
        <v>61</v>
      </c>
      <c r="B236">
        <v>9</v>
      </c>
      <c r="C236">
        <v>16</v>
      </c>
      <c r="D236">
        <v>34</v>
      </c>
      <c r="E236">
        <v>54</v>
      </c>
      <c r="F236">
        <v>2</v>
      </c>
      <c r="G236">
        <v>384</v>
      </c>
      <c r="H236">
        <v>119</v>
      </c>
      <c r="I236">
        <v>8</v>
      </c>
      <c r="J236">
        <v>7</v>
      </c>
      <c r="K236">
        <v>5</v>
      </c>
      <c r="L236">
        <v>0</v>
      </c>
      <c r="M236">
        <v>30</v>
      </c>
      <c r="N236">
        <v>4</v>
      </c>
      <c r="O236">
        <v>0</v>
      </c>
      <c r="P236">
        <v>98</v>
      </c>
      <c r="Q236">
        <v>10</v>
      </c>
      <c r="R236">
        <v>54</v>
      </c>
      <c r="S236">
        <v>124</v>
      </c>
      <c r="T236">
        <v>190</v>
      </c>
      <c r="U236">
        <v>449</v>
      </c>
      <c r="V236">
        <v>599</v>
      </c>
      <c r="W236">
        <v>1</v>
      </c>
      <c r="X236">
        <v>1085</v>
      </c>
      <c r="Y236">
        <v>625</v>
      </c>
      <c r="Z236">
        <v>5</v>
      </c>
      <c r="AA236">
        <v>3</v>
      </c>
      <c r="AB236">
        <v>1</v>
      </c>
      <c r="AC236">
        <v>14675</v>
      </c>
      <c r="AD236">
        <v>32</v>
      </c>
      <c r="AE236">
        <v>2774</v>
      </c>
      <c r="AF236">
        <v>2204</v>
      </c>
      <c r="AG236">
        <v>680</v>
      </c>
      <c r="AH236">
        <v>163</v>
      </c>
      <c r="AI236">
        <v>21668</v>
      </c>
      <c r="AJ236">
        <v>30</v>
      </c>
      <c r="AK236">
        <v>10</v>
      </c>
      <c r="AL236">
        <v>296</v>
      </c>
      <c r="AM236">
        <v>2</v>
      </c>
      <c r="AN236">
        <v>38</v>
      </c>
      <c r="AO236">
        <v>14</v>
      </c>
      <c r="AP236" t="s">
        <v>59</v>
      </c>
    </row>
    <row r="237" spans="1:42" x14ac:dyDescent="0.3">
      <c r="A237" t="s">
        <v>60</v>
      </c>
      <c r="B237">
        <v>9</v>
      </c>
      <c r="C237">
        <v>19</v>
      </c>
      <c r="D237">
        <v>28</v>
      </c>
      <c r="E237">
        <v>62</v>
      </c>
      <c r="F237">
        <v>3</v>
      </c>
      <c r="G237">
        <v>362</v>
      </c>
      <c r="H237">
        <v>109</v>
      </c>
      <c r="I237">
        <v>8</v>
      </c>
      <c r="J237">
        <v>5</v>
      </c>
      <c r="K237">
        <v>2</v>
      </c>
      <c r="L237">
        <v>0</v>
      </c>
      <c r="M237">
        <v>27</v>
      </c>
      <c r="N237">
        <v>1</v>
      </c>
      <c r="O237">
        <v>2</v>
      </c>
      <c r="P237">
        <v>67</v>
      </c>
      <c r="Q237">
        <v>10</v>
      </c>
      <c r="R237">
        <v>58</v>
      </c>
      <c r="S237">
        <v>103</v>
      </c>
      <c r="T237">
        <v>118</v>
      </c>
      <c r="U237">
        <v>519</v>
      </c>
      <c r="V237">
        <v>744</v>
      </c>
      <c r="W237">
        <v>4</v>
      </c>
      <c r="X237">
        <v>1070</v>
      </c>
      <c r="Y237">
        <v>490</v>
      </c>
      <c r="Z237">
        <v>1</v>
      </c>
      <c r="AA237">
        <v>6</v>
      </c>
      <c r="AB237">
        <v>4</v>
      </c>
      <c r="AC237">
        <v>14960</v>
      </c>
      <c r="AD237">
        <v>26</v>
      </c>
      <c r="AE237">
        <v>2563</v>
      </c>
      <c r="AF237">
        <v>2267</v>
      </c>
      <c r="AG237">
        <v>765</v>
      </c>
      <c r="AH237">
        <v>165</v>
      </c>
      <c r="AI237">
        <v>22619</v>
      </c>
      <c r="AJ237">
        <v>21</v>
      </c>
      <c r="AK237">
        <v>6</v>
      </c>
      <c r="AL237">
        <v>416</v>
      </c>
      <c r="AM237">
        <v>2</v>
      </c>
      <c r="AN237">
        <v>31</v>
      </c>
      <c r="AO237">
        <v>24</v>
      </c>
      <c r="AP237" t="s">
        <v>59</v>
      </c>
    </row>
    <row r="238" spans="1:42" x14ac:dyDescent="0.3">
      <c r="A238" t="s">
        <v>48</v>
      </c>
      <c r="B238">
        <v>8</v>
      </c>
      <c r="C238">
        <v>21</v>
      </c>
      <c r="D238">
        <v>28</v>
      </c>
      <c r="E238">
        <v>51</v>
      </c>
      <c r="F238">
        <v>1</v>
      </c>
      <c r="G238">
        <v>338</v>
      </c>
      <c r="H238">
        <v>103</v>
      </c>
      <c r="I238">
        <v>8</v>
      </c>
      <c r="J238">
        <v>3</v>
      </c>
      <c r="K238">
        <v>1</v>
      </c>
      <c r="L238">
        <v>0</v>
      </c>
      <c r="M238">
        <v>24</v>
      </c>
      <c r="N238">
        <v>4</v>
      </c>
      <c r="O238">
        <v>0</v>
      </c>
      <c r="P238">
        <v>38</v>
      </c>
      <c r="Q238">
        <v>9</v>
      </c>
      <c r="R238">
        <v>56</v>
      </c>
      <c r="S238">
        <v>137</v>
      </c>
      <c r="T238">
        <v>124</v>
      </c>
      <c r="U238">
        <v>390</v>
      </c>
      <c r="V238">
        <v>610</v>
      </c>
      <c r="W238">
        <v>2</v>
      </c>
      <c r="X238">
        <v>943</v>
      </c>
      <c r="Y238">
        <v>499</v>
      </c>
      <c r="Z238">
        <v>2</v>
      </c>
      <c r="AA238">
        <v>7</v>
      </c>
      <c r="AB238">
        <v>3</v>
      </c>
      <c r="AC238">
        <v>15721</v>
      </c>
      <c r="AD238">
        <v>23</v>
      </c>
      <c r="AE238">
        <v>2580</v>
      </c>
      <c r="AF238">
        <v>2582</v>
      </c>
      <c r="AG238">
        <v>694</v>
      </c>
      <c r="AH238">
        <v>150</v>
      </c>
      <c r="AI238">
        <v>22775</v>
      </c>
      <c r="AJ238">
        <v>26</v>
      </c>
      <c r="AK238">
        <v>1</v>
      </c>
      <c r="AL238">
        <v>439</v>
      </c>
      <c r="AM238">
        <v>3</v>
      </c>
      <c r="AN238">
        <v>44</v>
      </c>
      <c r="AO238">
        <v>15</v>
      </c>
      <c r="AP238" t="s">
        <v>59</v>
      </c>
    </row>
    <row r="239" spans="1:42" x14ac:dyDescent="0.3">
      <c r="A239" t="s">
        <v>50</v>
      </c>
      <c r="B239">
        <v>7</v>
      </c>
      <c r="C239">
        <v>16</v>
      </c>
      <c r="D239">
        <v>37</v>
      </c>
      <c r="E239">
        <v>63</v>
      </c>
      <c r="F239">
        <v>2</v>
      </c>
      <c r="G239">
        <v>450</v>
      </c>
      <c r="H239">
        <v>145</v>
      </c>
      <c r="I239">
        <v>15</v>
      </c>
      <c r="J239">
        <v>7</v>
      </c>
      <c r="K239">
        <v>3</v>
      </c>
      <c r="L239">
        <v>1</v>
      </c>
      <c r="M239">
        <v>34</v>
      </c>
      <c r="N239">
        <v>3</v>
      </c>
      <c r="O239">
        <v>2</v>
      </c>
      <c r="P239">
        <v>73</v>
      </c>
      <c r="Q239">
        <v>8</v>
      </c>
      <c r="R239">
        <v>56</v>
      </c>
      <c r="S239">
        <v>110</v>
      </c>
      <c r="T239">
        <v>128</v>
      </c>
      <c r="U239">
        <v>462</v>
      </c>
      <c r="V239">
        <v>658</v>
      </c>
      <c r="W239">
        <v>4</v>
      </c>
      <c r="X239">
        <v>953</v>
      </c>
      <c r="Y239">
        <v>509</v>
      </c>
      <c r="Z239">
        <v>1</v>
      </c>
      <c r="AA239">
        <v>2</v>
      </c>
      <c r="AB239">
        <v>1</v>
      </c>
      <c r="AC239">
        <v>17174</v>
      </c>
      <c r="AD239">
        <v>56</v>
      </c>
      <c r="AE239">
        <v>2541</v>
      </c>
      <c r="AF239">
        <v>2589</v>
      </c>
      <c r="AG239">
        <v>800</v>
      </c>
      <c r="AH239">
        <v>227</v>
      </c>
      <c r="AI239">
        <v>24639</v>
      </c>
      <c r="AJ239">
        <v>37</v>
      </c>
      <c r="AK239">
        <v>4</v>
      </c>
      <c r="AL239">
        <v>379</v>
      </c>
      <c r="AM239">
        <v>1</v>
      </c>
      <c r="AN239">
        <v>29</v>
      </c>
      <c r="AO239">
        <v>13</v>
      </c>
      <c r="AP239" t="s">
        <v>59</v>
      </c>
    </row>
    <row r="240" spans="1:42" x14ac:dyDescent="0.3">
      <c r="A240" t="s">
        <v>37</v>
      </c>
      <c r="B240">
        <v>7</v>
      </c>
      <c r="C240">
        <v>19</v>
      </c>
      <c r="D240">
        <v>35</v>
      </c>
      <c r="E240">
        <v>62</v>
      </c>
      <c r="F240">
        <v>1</v>
      </c>
      <c r="G240">
        <v>384</v>
      </c>
      <c r="H240">
        <v>132</v>
      </c>
      <c r="I240">
        <v>8</v>
      </c>
      <c r="J240">
        <v>8</v>
      </c>
      <c r="K240">
        <v>0</v>
      </c>
      <c r="L240">
        <v>1</v>
      </c>
      <c r="M240">
        <v>28</v>
      </c>
      <c r="N240">
        <v>8</v>
      </c>
      <c r="O240">
        <v>2</v>
      </c>
      <c r="P240">
        <v>87</v>
      </c>
      <c r="Q240">
        <v>6</v>
      </c>
      <c r="R240">
        <v>68</v>
      </c>
      <c r="S240">
        <v>152</v>
      </c>
      <c r="T240">
        <v>142</v>
      </c>
      <c r="U240">
        <v>461</v>
      </c>
      <c r="V240">
        <v>678</v>
      </c>
      <c r="W240">
        <v>9</v>
      </c>
      <c r="X240">
        <v>1164</v>
      </c>
      <c r="Y240">
        <v>609</v>
      </c>
      <c r="Z240">
        <v>2</v>
      </c>
      <c r="AA240">
        <v>5</v>
      </c>
      <c r="AB240">
        <v>5</v>
      </c>
      <c r="AC240">
        <v>12892</v>
      </c>
      <c r="AD240">
        <v>33</v>
      </c>
      <c r="AE240">
        <v>2528</v>
      </c>
      <c r="AF240">
        <v>1979</v>
      </c>
      <c r="AG240">
        <v>598</v>
      </c>
      <c r="AH240">
        <v>136</v>
      </c>
      <c r="AI240">
        <v>20368</v>
      </c>
      <c r="AJ240">
        <v>33</v>
      </c>
      <c r="AK240">
        <v>3</v>
      </c>
      <c r="AL240">
        <v>402</v>
      </c>
      <c r="AM240">
        <v>0</v>
      </c>
      <c r="AN240">
        <v>27</v>
      </c>
      <c r="AO240">
        <v>14</v>
      </c>
      <c r="AP240" t="s">
        <v>59</v>
      </c>
    </row>
    <row r="241" spans="1:42" x14ac:dyDescent="0.3">
      <c r="A241" t="s">
        <v>35</v>
      </c>
      <c r="B241">
        <v>6</v>
      </c>
      <c r="C241">
        <v>19</v>
      </c>
      <c r="D241">
        <v>31</v>
      </c>
      <c r="E241">
        <v>73</v>
      </c>
      <c r="F241">
        <v>1</v>
      </c>
      <c r="G241">
        <v>378</v>
      </c>
      <c r="H241">
        <v>114</v>
      </c>
      <c r="I241">
        <v>7</v>
      </c>
      <c r="J241">
        <v>10</v>
      </c>
      <c r="K241">
        <v>1</v>
      </c>
      <c r="L241">
        <v>1</v>
      </c>
      <c r="M241">
        <v>29</v>
      </c>
      <c r="N241">
        <v>2</v>
      </c>
      <c r="O241">
        <v>2</v>
      </c>
      <c r="P241">
        <v>79</v>
      </c>
      <c r="Q241">
        <v>10</v>
      </c>
      <c r="R241">
        <v>56</v>
      </c>
      <c r="S241">
        <v>102</v>
      </c>
      <c r="T241">
        <v>148</v>
      </c>
      <c r="U241">
        <v>469</v>
      </c>
      <c r="V241">
        <v>604</v>
      </c>
      <c r="W241">
        <v>0</v>
      </c>
      <c r="X241">
        <v>993</v>
      </c>
      <c r="Y241">
        <v>544</v>
      </c>
      <c r="Z241">
        <v>2</v>
      </c>
      <c r="AA241">
        <v>1</v>
      </c>
      <c r="AB241">
        <v>1</v>
      </c>
      <c r="AC241">
        <v>13218</v>
      </c>
      <c r="AD241">
        <v>34</v>
      </c>
      <c r="AE241">
        <v>2699</v>
      </c>
      <c r="AF241">
        <v>2041</v>
      </c>
      <c r="AG241">
        <v>784</v>
      </c>
      <c r="AH241">
        <v>176</v>
      </c>
      <c r="AI241">
        <v>20552</v>
      </c>
      <c r="AJ241">
        <v>28</v>
      </c>
      <c r="AK241">
        <v>3</v>
      </c>
      <c r="AL241">
        <v>446</v>
      </c>
      <c r="AM241">
        <v>0</v>
      </c>
      <c r="AN241">
        <v>40</v>
      </c>
      <c r="AO241">
        <v>5</v>
      </c>
      <c r="AP241" t="s">
        <v>59</v>
      </c>
    </row>
  </sheetData>
  <phoneticPr fontId="18"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B050"/>
  </sheetPr>
  <dimension ref="A1:D82"/>
  <sheetViews>
    <sheetView zoomScale="85" zoomScaleNormal="85" workbookViewId="0">
      <selection activeCell="AB7" sqref="AB7"/>
    </sheetView>
  </sheetViews>
  <sheetFormatPr defaultRowHeight="14.4" x14ac:dyDescent="0.3"/>
  <cols>
    <col min="1" max="1" width="13.44140625" bestFit="1" customWidth="1"/>
    <col min="2" max="2" width="15.77734375" bestFit="1" customWidth="1"/>
    <col min="3" max="3" width="30.5546875" bestFit="1" customWidth="1"/>
    <col min="4" max="4" width="26.109375" bestFit="1" customWidth="1"/>
    <col min="5" max="5" width="24.5546875" bestFit="1" customWidth="1"/>
    <col min="6" max="6" width="7.77734375" bestFit="1" customWidth="1"/>
    <col min="7" max="7" width="7.5546875" bestFit="1" customWidth="1"/>
    <col min="8" max="8" width="13.21875" bestFit="1" customWidth="1"/>
    <col min="9" max="9" width="8" bestFit="1" customWidth="1"/>
    <col min="10" max="10" width="18" bestFit="1" customWidth="1"/>
    <col min="11" max="11" width="8.33203125" bestFit="1" customWidth="1"/>
    <col min="12" max="12" width="12.6640625" bestFit="1" customWidth="1"/>
    <col min="13" max="13" width="9.21875" bestFit="1" customWidth="1"/>
    <col min="14" max="14" width="15.5546875" bestFit="1" customWidth="1"/>
    <col min="15" max="15" width="18.33203125" bestFit="1" customWidth="1"/>
    <col min="16" max="16" width="14.6640625" bestFit="1" customWidth="1"/>
    <col min="17" max="17" width="16.6640625" bestFit="1" customWidth="1"/>
    <col min="18" max="18" width="12.44140625" bestFit="1" customWidth="1"/>
    <col min="19" max="19" width="13.33203125" bestFit="1" customWidth="1"/>
    <col min="20" max="20" width="9.88671875" bestFit="1" customWidth="1"/>
    <col min="21" max="21" width="11.21875" bestFit="1" customWidth="1"/>
    <col min="22" max="22" width="12.5546875" bestFit="1" customWidth="1"/>
    <col min="23" max="23" width="18.77734375" bestFit="1" customWidth="1"/>
    <col min="24" max="24" width="8.44140625" bestFit="1" customWidth="1"/>
    <col min="25" max="25" width="21.6640625" bestFit="1" customWidth="1"/>
    <col min="26" max="26" width="16.6640625" bestFit="1" customWidth="1"/>
    <col min="27" max="27" width="11.44140625" bestFit="1" customWidth="1"/>
    <col min="28" max="117" width="15.5546875" bestFit="1" customWidth="1"/>
    <col min="118" max="118" width="10.77734375" bestFit="1" customWidth="1"/>
  </cols>
  <sheetData>
    <row r="1" spans="1:4" x14ac:dyDescent="0.3">
      <c r="A1" s="2" t="s">
        <v>1939</v>
      </c>
      <c r="B1" t="s">
        <v>1941</v>
      </c>
      <c r="C1" t="s">
        <v>1942</v>
      </c>
      <c r="D1" t="s">
        <v>1943</v>
      </c>
    </row>
    <row r="2" spans="1:4" x14ac:dyDescent="0.3">
      <c r="A2" s="3" t="s">
        <v>56</v>
      </c>
      <c r="B2" s="1">
        <v>51.3</v>
      </c>
      <c r="C2" s="1">
        <v>161.75</v>
      </c>
      <c r="D2" s="5">
        <v>0.31715610510046366</v>
      </c>
    </row>
    <row r="3" spans="1:4" x14ac:dyDescent="0.3">
      <c r="A3" s="3" t="s">
        <v>58</v>
      </c>
      <c r="B3" s="1">
        <v>53.2</v>
      </c>
      <c r="C3" s="1">
        <v>164.4</v>
      </c>
      <c r="D3" s="5">
        <v>0.32360097323600973</v>
      </c>
    </row>
    <row r="4" spans="1:4" x14ac:dyDescent="0.3">
      <c r="A4" s="3" t="s">
        <v>59</v>
      </c>
      <c r="B4" s="1">
        <v>50.9</v>
      </c>
      <c r="C4" s="1">
        <v>159.44999999999999</v>
      </c>
      <c r="D4" s="5">
        <v>0.31922232674819695</v>
      </c>
    </row>
    <row r="5" spans="1:4" x14ac:dyDescent="0.3">
      <c r="A5" s="3" t="s">
        <v>1940</v>
      </c>
      <c r="B5" s="1">
        <v>51.8</v>
      </c>
      <c r="C5" s="1">
        <v>161.86666666666667</v>
      </c>
      <c r="D5" s="5">
        <v>0.32001647446457993</v>
      </c>
    </row>
    <row r="15" spans="1:4" x14ac:dyDescent="0.3">
      <c r="B15" s="1"/>
    </row>
    <row r="16" spans="1:4" x14ac:dyDescent="0.3">
      <c r="B16" s="1"/>
    </row>
    <row r="81" spans="1:4" x14ac:dyDescent="0.3">
      <c r="A81" s="3"/>
      <c r="B81" s="4"/>
      <c r="C81" s="4"/>
      <c r="D81" s="4"/>
    </row>
    <row r="82" spans="1:4" x14ac:dyDescent="0.3">
      <c r="A82" s="3"/>
      <c r="B82" s="4"/>
      <c r="C82" s="4"/>
      <c r="D82" s="4"/>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D3F59A-D28F-404E-AE33-0863D84DBA27}">
  <sheetPr codeName="Sheet6">
    <tabColor rgb="FF00B050"/>
  </sheetPr>
  <dimension ref="A1:C24"/>
  <sheetViews>
    <sheetView zoomScale="85" zoomScaleNormal="85" workbookViewId="0">
      <selection activeCell="G22" sqref="G22"/>
    </sheetView>
  </sheetViews>
  <sheetFormatPr defaultRowHeight="14.4" x14ac:dyDescent="0.3"/>
  <cols>
    <col min="1" max="1" width="13.44140625" bestFit="1" customWidth="1"/>
    <col min="2" max="2" width="23.5546875" bestFit="1" customWidth="1"/>
    <col min="3" max="3" width="22.88671875" bestFit="1" customWidth="1"/>
  </cols>
  <sheetData>
    <row r="1" spans="1:3" x14ac:dyDescent="0.3">
      <c r="A1" s="2" t="s">
        <v>1939</v>
      </c>
      <c r="B1" t="s">
        <v>1955</v>
      </c>
      <c r="C1" t="s">
        <v>1956</v>
      </c>
    </row>
    <row r="2" spans="1:3" x14ac:dyDescent="0.3">
      <c r="A2" s="3" t="s">
        <v>56</v>
      </c>
      <c r="B2" s="1">
        <v>205.35</v>
      </c>
      <c r="C2" s="1">
        <v>74.8</v>
      </c>
    </row>
    <row r="3" spans="1:3" x14ac:dyDescent="0.3">
      <c r="A3" s="3" t="s">
        <v>58</v>
      </c>
      <c r="B3" s="1">
        <v>197.9</v>
      </c>
      <c r="C3" s="1">
        <v>72.75</v>
      </c>
    </row>
    <row r="4" spans="1:3" x14ac:dyDescent="0.3">
      <c r="A4" s="3" t="s">
        <v>59</v>
      </c>
      <c r="B4" s="1">
        <v>195.55</v>
      </c>
      <c r="C4" s="1">
        <v>78.400000000000006</v>
      </c>
    </row>
    <row r="5" spans="1:3" x14ac:dyDescent="0.3">
      <c r="A5" s="3" t="s">
        <v>1940</v>
      </c>
      <c r="B5" s="1">
        <v>199.6</v>
      </c>
      <c r="C5" s="1">
        <v>75.316666666666663</v>
      </c>
    </row>
    <row r="20" spans="1:3" x14ac:dyDescent="0.3">
      <c r="A20" s="2" t="s">
        <v>1939</v>
      </c>
      <c r="B20" t="s">
        <v>1957</v>
      </c>
      <c r="C20" t="s">
        <v>1958</v>
      </c>
    </row>
    <row r="21" spans="1:3" x14ac:dyDescent="0.3">
      <c r="A21" s="3" t="s">
        <v>56</v>
      </c>
      <c r="B21" s="1">
        <v>11.85</v>
      </c>
      <c r="C21" s="1">
        <v>3.7</v>
      </c>
    </row>
    <row r="22" spans="1:3" x14ac:dyDescent="0.3">
      <c r="A22" s="3" t="s">
        <v>58</v>
      </c>
      <c r="B22" s="1">
        <v>12.65</v>
      </c>
      <c r="C22" s="1">
        <v>4.05</v>
      </c>
    </row>
    <row r="23" spans="1:3" x14ac:dyDescent="0.3">
      <c r="A23" s="3" t="s">
        <v>59</v>
      </c>
      <c r="B23" s="1">
        <v>11.3</v>
      </c>
      <c r="C23" s="1">
        <v>2.8</v>
      </c>
    </row>
    <row r="24" spans="1:3" x14ac:dyDescent="0.3">
      <c r="A24" s="3" t="s">
        <v>1940</v>
      </c>
      <c r="B24" s="1">
        <v>11.933333333333334</v>
      </c>
      <c r="C24" s="1">
        <v>3.5166666666666666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52DA2-368A-4530-9374-FAC03B5EFEFC}">
  <sheetPr codeName="Sheet7">
    <tabColor rgb="FF00B050"/>
  </sheetPr>
  <dimension ref="A1:N19"/>
  <sheetViews>
    <sheetView zoomScale="85" zoomScaleNormal="85" workbookViewId="0">
      <selection activeCell="Q9" sqref="Q9"/>
    </sheetView>
  </sheetViews>
  <sheetFormatPr defaultRowHeight="14.4" x14ac:dyDescent="0.3"/>
  <cols>
    <col min="1" max="1" width="13.44140625" bestFit="1" customWidth="1"/>
    <col min="2" max="2" width="23.77734375" bestFit="1" customWidth="1"/>
    <col min="3" max="3" width="19.77734375" bestFit="1" customWidth="1"/>
    <col min="4" max="4" width="14.33203125" bestFit="1" customWidth="1"/>
    <col min="5" max="5" width="12.44140625" bestFit="1" customWidth="1"/>
    <col min="7" max="7" width="14.33203125" bestFit="1" customWidth="1"/>
    <col min="8" max="8" width="12.44140625" bestFit="1" customWidth="1"/>
    <col min="10" max="10" width="14.33203125" bestFit="1" customWidth="1"/>
    <col min="11" max="11" width="12.44140625" bestFit="1" customWidth="1"/>
  </cols>
  <sheetData>
    <row r="1" spans="1:11" x14ac:dyDescent="0.3">
      <c r="A1" s="2" t="s">
        <v>1939</v>
      </c>
      <c r="B1" t="s">
        <v>1948</v>
      </c>
      <c r="D1" t="s">
        <v>1961</v>
      </c>
      <c r="G1" t="s">
        <v>1959</v>
      </c>
      <c r="J1" t="s">
        <v>1960</v>
      </c>
    </row>
    <row r="2" spans="1:11" x14ac:dyDescent="0.3">
      <c r="A2" s="3" t="s">
        <v>56</v>
      </c>
      <c r="B2" s="1">
        <v>44.15</v>
      </c>
      <c r="D2" t="s">
        <v>1950</v>
      </c>
      <c r="E2">
        <f>GETPIVOTDATA("att_ibox_goal",$A$1,"season","2015-2016")</f>
        <v>44.15</v>
      </c>
      <c r="G2" t="s">
        <v>1950</v>
      </c>
      <c r="H2">
        <f>GETPIVOTDATA("att_ibox_goal",$A$1,"season","2016-2017")</f>
        <v>47.1</v>
      </c>
      <c r="J2" t="s">
        <v>1950</v>
      </c>
      <c r="K2">
        <f>GETPIVOTDATA("att_ibox_goal",$A$1,"season","2017-2018")</f>
        <v>44.25</v>
      </c>
    </row>
    <row r="3" spans="1:11" x14ac:dyDescent="0.3">
      <c r="A3" s="3" t="s">
        <v>58</v>
      </c>
      <c r="B3" s="1">
        <v>47.1</v>
      </c>
      <c r="D3" t="s">
        <v>1951</v>
      </c>
      <c r="E3">
        <f>E4-E2</f>
        <v>7.1499999999999986</v>
      </c>
      <c r="G3" t="s">
        <v>1951</v>
      </c>
      <c r="H3">
        <f>H4-H2</f>
        <v>6.1000000000000014</v>
      </c>
      <c r="J3" t="s">
        <v>1951</v>
      </c>
      <c r="K3">
        <f>K4-K2</f>
        <v>6.6499999999999986</v>
      </c>
    </row>
    <row r="4" spans="1:11" x14ac:dyDescent="0.3">
      <c r="A4" s="3" t="s">
        <v>59</v>
      </c>
      <c r="B4" s="1">
        <v>44.25</v>
      </c>
      <c r="C4" s="7"/>
      <c r="D4" t="s">
        <v>1952</v>
      </c>
      <c r="E4">
        <f>GETPIVOTDATA("goals",$A$14,"season","2015-2016")</f>
        <v>51.3</v>
      </c>
      <c r="G4" t="s">
        <v>1952</v>
      </c>
      <c r="H4">
        <f>GETPIVOTDATA("goals",$A$14,"season","2016-2017")</f>
        <v>53.2</v>
      </c>
      <c r="J4" t="s">
        <v>1952</v>
      </c>
      <c r="K4">
        <f>GETPIVOTDATA("goals",$A$14,"season","2017-2018")</f>
        <v>50.9</v>
      </c>
    </row>
    <row r="5" spans="1:11" x14ac:dyDescent="0.3">
      <c r="A5" s="3" t="s">
        <v>1940</v>
      </c>
      <c r="B5" s="1">
        <v>45.166666666666664</v>
      </c>
      <c r="C5" s="6"/>
      <c r="D5" t="s">
        <v>1953</v>
      </c>
      <c r="E5" s="6">
        <f>E2/E4</f>
        <v>0.86062378167641329</v>
      </c>
      <c r="G5" t="s">
        <v>1953</v>
      </c>
      <c r="H5" s="6">
        <f>H2/H4</f>
        <v>0.88533834586466165</v>
      </c>
      <c r="J5" t="s">
        <v>1953</v>
      </c>
      <c r="K5" s="6">
        <f>K2/K4</f>
        <v>0.86935166994106094</v>
      </c>
    </row>
    <row r="7" spans="1:11" x14ac:dyDescent="0.3">
      <c r="D7" t="s">
        <v>1954</v>
      </c>
      <c r="E7">
        <f>GETPIVOTDATA("att_obox_goal",$A$8,"season","2015-2016")</f>
        <v>7.15</v>
      </c>
      <c r="G7" t="s">
        <v>1954</v>
      </c>
      <c r="H7">
        <f>GETPIVOTDATA("att_obox_goal",$A$8,"season","2016-2017")</f>
        <v>6.15</v>
      </c>
      <c r="J7" t="s">
        <v>1954</v>
      </c>
      <c r="K7">
        <f>GETPIVOTDATA("att_obox_goal",$A$8,"season","2017-2018")</f>
        <v>6.9</v>
      </c>
    </row>
    <row r="8" spans="1:11" x14ac:dyDescent="0.3">
      <c r="A8" s="2" t="s">
        <v>1939</v>
      </c>
      <c r="B8" t="s">
        <v>1949</v>
      </c>
      <c r="D8" t="s">
        <v>1951</v>
      </c>
      <c r="E8">
        <f>E9-E7</f>
        <v>44.15</v>
      </c>
      <c r="G8" t="s">
        <v>1951</v>
      </c>
      <c r="H8">
        <f>H9-H7</f>
        <v>47.050000000000004</v>
      </c>
      <c r="J8" t="s">
        <v>1951</v>
      </c>
      <c r="K8">
        <f>K9-K7</f>
        <v>44</v>
      </c>
    </row>
    <row r="9" spans="1:11" x14ac:dyDescent="0.3">
      <c r="A9" s="3" t="s">
        <v>56</v>
      </c>
      <c r="B9" s="1">
        <v>7.15</v>
      </c>
      <c r="D9" t="s">
        <v>1952</v>
      </c>
      <c r="E9">
        <f>GETPIVOTDATA("goals",$A$14,"season","2015-2016")</f>
        <v>51.3</v>
      </c>
      <c r="G9" t="s">
        <v>1952</v>
      </c>
      <c r="H9">
        <f>GETPIVOTDATA("goals",$A$14,"season","2016-2017")</f>
        <v>53.2</v>
      </c>
      <c r="J9" t="s">
        <v>1952</v>
      </c>
      <c r="K9">
        <f>GETPIVOTDATA("goals",$A$14,"season","2017-2018")</f>
        <v>50.9</v>
      </c>
    </row>
    <row r="10" spans="1:11" x14ac:dyDescent="0.3">
      <c r="A10" s="3" t="s">
        <v>58</v>
      </c>
      <c r="B10" s="1">
        <v>6.15</v>
      </c>
      <c r="D10" t="s">
        <v>1953</v>
      </c>
      <c r="E10" s="6">
        <f>E7/E9</f>
        <v>0.13937621832358676</v>
      </c>
      <c r="G10" t="s">
        <v>1953</v>
      </c>
      <c r="H10" s="6">
        <f>H7/H9</f>
        <v>0.1156015037593985</v>
      </c>
      <c r="J10" t="s">
        <v>1953</v>
      </c>
      <c r="K10" s="6">
        <f>K7/K9</f>
        <v>0.13555992141453832</v>
      </c>
    </row>
    <row r="11" spans="1:11" x14ac:dyDescent="0.3">
      <c r="A11" s="3" t="s">
        <v>59</v>
      </c>
      <c r="B11" s="1">
        <v>6.9</v>
      </c>
      <c r="C11" s="7"/>
    </row>
    <row r="12" spans="1:11" x14ac:dyDescent="0.3">
      <c r="A12" s="3" t="s">
        <v>1940</v>
      </c>
      <c r="B12" s="1">
        <v>6.7333333333333334</v>
      </c>
      <c r="C12" s="6"/>
    </row>
    <row r="14" spans="1:11" x14ac:dyDescent="0.3">
      <c r="A14" s="2" t="s">
        <v>1939</v>
      </c>
      <c r="B14" t="s">
        <v>1941</v>
      </c>
    </row>
    <row r="15" spans="1:11" x14ac:dyDescent="0.3">
      <c r="A15" s="3" t="s">
        <v>56</v>
      </c>
      <c r="B15" s="1">
        <v>51.3</v>
      </c>
    </row>
    <row r="16" spans="1:11" x14ac:dyDescent="0.3">
      <c r="A16" s="3" t="s">
        <v>58</v>
      </c>
      <c r="B16" s="1">
        <v>53.2</v>
      </c>
    </row>
    <row r="17" spans="1:14" x14ac:dyDescent="0.3">
      <c r="A17" s="3" t="s">
        <v>59</v>
      </c>
      <c r="B17" s="1">
        <v>50.9</v>
      </c>
    </row>
    <row r="18" spans="1:14" x14ac:dyDescent="0.3">
      <c r="A18" s="3" t="s">
        <v>1940</v>
      </c>
      <c r="B18" s="1">
        <v>51.8</v>
      </c>
    </row>
    <row r="19" spans="1:14" x14ac:dyDescent="0.3">
      <c r="N19" s="5"/>
    </row>
  </sheetData>
  <pageMargins left="0.7" right="0.7" top="0.75" bottom="0.75" header="0.3" footer="0.3"/>
  <drawing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D48B6-C79D-420F-8F1F-1A0B79B120DE}">
  <sheetPr codeName="Sheet8">
    <tabColor rgb="FF00B050"/>
  </sheetPr>
  <dimension ref="A1:E5"/>
  <sheetViews>
    <sheetView zoomScale="85" zoomScaleNormal="85" workbookViewId="0">
      <selection activeCell="A13" sqref="A13"/>
    </sheetView>
  </sheetViews>
  <sheetFormatPr defaultRowHeight="14.4" x14ac:dyDescent="0.3"/>
  <cols>
    <col min="1" max="1" width="13.44140625" bestFit="1" customWidth="1"/>
    <col min="2" max="2" width="22.33203125" bestFit="1" customWidth="1"/>
    <col min="3" max="3" width="23.33203125" bestFit="1" customWidth="1"/>
    <col min="4" max="4" width="24.6640625" bestFit="1" customWidth="1"/>
    <col min="5" max="5" width="27.21875" bestFit="1" customWidth="1"/>
  </cols>
  <sheetData>
    <row r="1" spans="1:5" x14ac:dyDescent="0.3">
      <c r="A1" s="2" t="s">
        <v>1939</v>
      </c>
      <c r="B1" t="s">
        <v>1944</v>
      </c>
      <c r="C1" t="s">
        <v>1945</v>
      </c>
      <c r="D1" t="s">
        <v>1947</v>
      </c>
      <c r="E1" t="s">
        <v>1946</v>
      </c>
    </row>
    <row r="2" spans="1:5" x14ac:dyDescent="0.3">
      <c r="A2" s="3" t="s">
        <v>56</v>
      </c>
      <c r="B2" s="1">
        <v>9</v>
      </c>
      <c r="C2" s="1">
        <v>3.7</v>
      </c>
      <c r="D2" s="1">
        <v>1.9</v>
      </c>
      <c r="E2" s="1">
        <v>1.25</v>
      </c>
    </row>
    <row r="3" spans="1:5" x14ac:dyDescent="0.3">
      <c r="A3" s="3" t="s">
        <v>58</v>
      </c>
      <c r="B3" s="1">
        <v>9.4</v>
      </c>
      <c r="C3" s="1">
        <v>4.05</v>
      </c>
      <c r="D3" s="1">
        <v>2.4500000000000002</v>
      </c>
      <c r="E3" s="1">
        <v>1.35</v>
      </c>
    </row>
    <row r="4" spans="1:5" x14ac:dyDescent="0.3">
      <c r="A4" s="3" t="s">
        <v>59</v>
      </c>
      <c r="B4" s="1">
        <v>8.6999999999999993</v>
      </c>
      <c r="C4" s="1">
        <v>2.8</v>
      </c>
      <c r="D4" s="1">
        <v>2.8</v>
      </c>
      <c r="E4" s="1">
        <v>0.9</v>
      </c>
    </row>
    <row r="5" spans="1:5" x14ac:dyDescent="0.3">
      <c r="A5" s="3" t="s">
        <v>1940</v>
      </c>
      <c r="B5" s="1">
        <v>9.0333333333333332</v>
      </c>
      <c r="C5" s="1">
        <v>3.5166666666666666</v>
      </c>
      <c r="D5" s="1">
        <v>2.3833333333333333</v>
      </c>
      <c r="E5" s="1">
        <v>1.1666666666666667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E9697B-E84D-48ED-9EDE-F0016C82A61F}">
  <sheetPr codeName="Sheet10">
    <tabColor rgb="FF0070C0"/>
  </sheetPr>
  <dimension ref="A1"/>
  <sheetViews>
    <sheetView showGridLines="0" tabSelected="1" zoomScale="85" zoomScaleNormal="85" workbookViewId="0">
      <selection activeCell="C33" sqref="C33"/>
    </sheetView>
  </sheetViews>
  <sheetFormatPr defaultRowHeight="14.4" x14ac:dyDescent="0.3"/>
  <sheetData/>
  <pageMargins left="0.7" right="0.7" top="0.75" bottom="0.75" header="0.3" footer="0.3"/>
  <pageSetup orientation="portrait" r:id="rId1"/>
  <drawing r:id="rId2"/>
  <picture r:id="rId3"/>
  <extLst>
    <ext xmlns:x14="http://schemas.microsoft.com/office/spreadsheetml/2009/9/main" uri="{A8765BA9-456A-4dab-B4F3-ACF838C121DE}">
      <x14:slicerList>
        <x14:slicer r:id="rId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EC664EA-3E2F-4C71-A269-965CBACBD6B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data_stats</vt:lpstr>
      <vt:lpstr>working sheet_stats</vt:lpstr>
      <vt:lpstr>goal_precentage</vt:lpstr>
      <vt:lpstr>failed_attempt</vt:lpstr>
      <vt:lpstr>goal_area</vt:lpstr>
      <vt:lpstr>goal_statistic</vt:lpstr>
      <vt:lpstr>dashboard</vt:lpstr>
      <vt:lpstr>stats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Blackbird</dc:creator>
  <cp:lastModifiedBy>Blackbird</cp:lastModifiedBy>
  <dcterms:created xsi:type="dcterms:W3CDTF">2022-09-17T12:08:44Z</dcterms:created>
  <dcterms:modified xsi:type="dcterms:W3CDTF">2022-09-28T13:23:52Z</dcterms:modified>
</cp:coreProperties>
</file>